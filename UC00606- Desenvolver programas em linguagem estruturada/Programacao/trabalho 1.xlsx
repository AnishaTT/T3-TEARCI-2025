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valhinho\Downloads\"/>
    </mc:Choice>
  </mc:AlternateContent>
  <xr:revisionPtr revIDLastSave="0" documentId="8_{EC89E440-48C7-436D-92E8-C7D4ABEFDE57}" xr6:coauthVersionLast="47" xr6:coauthVersionMax="47" xr10:uidLastSave="{00000000-0000-0000-0000-000000000000}"/>
  <bookViews>
    <workbookView xWindow="-108" yWindow="-108" windowWidth="23256" windowHeight="12456" xr2:uid="{3BEB82D0-D93D-47A2-92B8-D2DBDA4936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41" i="1"/>
  <c r="B47" i="1"/>
  <c r="B46" i="1"/>
  <c r="B40" i="1"/>
  <c r="B39" i="1"/>
  <c r="B24" i="1"/>
  <c r="B34" i="1"/>
  <c r="B28" i="1"/>
  <c r="B29" i="1" s="1"/>
  <c r="B15" i="1"/>
  <c r="B20" i="1"/>
  <c r="B19" i="1"/>
  <c r="B16" i="1"/>
  <c r="B11" i="1"/>
  <c r="B6" i="1"/>
  <c r="B3" i="1"/>
</calcChain>
</file>

<file path=xl/sharedStrings.xml><?xml version="1.0" encoding="utf-8"?>
<sst xmlns="http://schemas.openxmlformats.org/spreadsheetml/2006/main" count="37" uniqueCount="36">
  <si>
    <t>metros</t>
  </si>
  <si>
    <t>centrímetros</t>
  </si>
  <si>
    <t>polegadas</t>
  </si>
  <si>
    <t>Preço bilhete cinema</t>
  </si>
  <si>
    <t>Numero de bilhetes comprados</t>
  </si>
  <si>
    <t>Valor total a pagar</t>
  </si>
  <si>
    <t>Comprimento do retangulo</t>
  </si>
  <si>
    <t>Largura do retangulo</t>
  </si>
  <si>
    <t>Lado do quadrado</t>
  </si>
  <si>
    <t>Perimetro do quadrado</t>
  </si>
  <si>
    <t>Área do Quadrado</t>
  </si>
  <si>
    <t>Data Carnaval</t>
  </si>
  <si>
    <t>Data Páscoa</t>
  </si>
  <si>
    <t>Dias entre as datas</t>
  </si>
  <si>
    <t>Custo sem IVA</t>
  </si>
  <si>
    <t>Taxa de IVA</t>
  </si>
  <si>
    <t>Área do retangulo</t>
  </si>
  <si>
    <t>Perimetro do retangulo</t>
  </si>
  <si>
    <t>Valor do IVA</t>
  </si>
  <si>
    <t>Custo final</t>
  </si>
  <si>
    <t>Depósito em 01/01/2017</t>
  </si>
  <si>
    <t>Taxa de juro</t>
  </si>
  <si>
    <t>Valor do juro</t>
  </si>
  <si>
    <t>Valor no banco em 01/01/2018</t>
  </si>
  <si>
    <t>Salario bruto</t>
  </si>
  <si>
    <t>Taxa de desconto Social</t>
  </si>
  <si>
    <t>Taxa de desconto IRS</t>
  </si>
  <si>
    <t>Valor desconto Social</t>
  </si>
  <si>
    <t>Valor desconto IRS</t>
  </si>
  <si>
    <t>Salário liquido</t>
  </si>
  <si>
    <t>Consumo por 100Km (em litros)</t>
  </si>
  <si>
    <t>Número de Kilómetros feitos</t>
  </si>
  <si>
    <t>Custo por litro</t>
  </si>
  <si>
    <t>Consumo em litros</t>
  </si>
  <si>
    <t>Valor total gasto</t>
  </si>
  <si>
    <t xml:space="preserve">Potencia do aparelho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</si>
</sst>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8" fontId="0" fillId="0" borderId="1" xfId="0" applyNumberFormat="1" applyBorder="1"/>
    <xf numFmtId="0" fontId="0" fillId="0" borderId="1" xfId="0" applyFill="1" applyBorder="1"/>
    <xf numFmtId="44" fontId="0" fillId="2" borderId="1" xfId="1" applyFont="1" applyFill="1" applyBorder="1"/>
    <xf numFmtId="16" fontId="0" fillId="0" borderId="1" xfId="0" applyNumberFormat="1" applyBorder="1"/>
    <xf numFmtId="9" fontId="0" fillId="0" borderId="1" xfId="0" applyNumberFormat="1" applyBorder="1"/>
    <xf numFmtId="44" fontId="0" fillId="0" borderId="1" xfId="1" applyFont="1" applyBorder="1"/>
    <xf numFmtId="0" fontId="0" fillId="2" borderId="1" xfId="0" applyNumberFormat="1" applyFill="1" applyBorder="1"/>
    <xf numFmtId="0" fontId="0" fillId="0" borderId="1" xfId="1" applyNumberFormat="1" applyFont="1" applyBorder="1"/>
    <xf numFmtId="0" fontId="0" fillId="2" borderId="1" xfId="1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78DA-8070-4C10-8C5E-9FB5B878618A}">
  <dimension ref="A2:B49"/>
  <sheetViews>
    <sheetView tabSelected="1" topLeftCell="A21" workbookViewId="0">
      <selection activeCell="A49" sqref="A49"/>
    </sheetView>
  </sheetViews>
  <sheetFormatPr defaultRowHeight="14.4" x14ac:dyDescent="0.3"/>
  <cols>
    <col min="1" max="1" width="27" customWidth="1"/>
    <col min="2" max="2" width="18.21875" bestFit="1" customWidth="1"/>
  </cols>
  <sheetData>
    <row r="2" spans="1:2" x14ac:dyDescent="0.3">
      <c r="A2" s="2" t="s">
        <v>0</v>
      </c>
      <c r="B2" s="2">
        <v>1.85</v>
      </c>
    </row>
    <row r="3" spans="1:2" x14ac:dyDescent="0.3">
      <c r="A3" s="2" t="s">
        <v>1</v>
      </c>
      <c r="B3" s="1">
        <f>B2*100</f>
        <v>185</v>
      </c>
    </row>
    <row r="5" spans="1:2" x14ac:dyDescent="0.3">
      <c r="A5" s="2" t="s">
        <v>2</v>
      </c>
      <c r="B5" s="2">
        <v>55</v>
      </c>
    </row>
    <row r="6" spans="1:2" x14ac:dyDescent="0.3">
      <c r="A6" s="2" t="s">
        <v>1</v>
      </c>
      <c r="B6" s="1">
        <f>B5*2.54</f>
        <v>139.69999999999999</v>
      </c>
    </row>
    <row r="9" spans="1:2" x14ac:dyDescent="0.3">
      <c r="A9" s="2" t="s">
        <v>3</v>
      </c>
      <c r="B9" s="3">
        <v>6</v>
      </c>
    </row>
    <row r="10" spans="1:2" x14ac:dyDescent="0.3">
      <c r="A10" s="2" t="s">
        <v>4</v>
      </c>
      <c r="B10" s="2">
        <v>3</v>
      </c>
    </row>
    <row r="11" spans="1:2" x14ac:dyDescent="0.3">
      <c r="A11" s="2" t="s">
        <v>5</v>
      </c>
      <c r="B11" s="5">
        <f>B9*B10</f>
        <v>18</v>
      </c>
    </row>
    <row r="13" spans="1:2" x14ac:dyDescent="0.3">
      <c r="A13" s="2" t="s">
        <v>6</v>
      </c>
      <c r="B13" s="4">
        <v>8</v>
      </c>
    </row>
    <row r="14" spans="1:2" x14ac:dyDescent="0.3">
      <c r="A14" s="4" t="s">
        <v>7</v>
      </c>
      <c r="B14" s="4">
        <v>5</v>
      </c>
    </row>
    <row r="15" spans="1:2" x14ac:dyDescent="0.3">
      <c r="A15" s="4" t="s">
        <v>17</v>
      </c>
      <c r="B15" s="1">
        <f>2*(B14+B13)</f>
        <v>26</v>
      </c>
    </row>
    <row r="16" spans="1:2" x14ac:dyDescent="0.3">
      <c r="A16" s="4" t="s">
        <v>16</v>
      </c>
      <c r="B16" s="1">
        <f>B13*B14</f>
        <v>40</v>
      </c>
    </row>
    <row r="18" spans="1:2" x14ac:dyDescent="0.3">
      <c r="A18" s="4" t="s">
        <v>8</v>
      </c>
      <c r="B18" s="4">
        <v>7</v>
      </c>
    </row>
    <row r="19" spans="1:2" x14ac:dyDescent="0.3">
      <c r="A19" s="4" t="s">
        <v>9</v>
      </c>
      <c r="B19" s="1">
        <f>B18*4</f>
        <v>28</v>
      </c>
    </row>
    <row r="20" spans="1:2" x14ac:dyDescent="0.3">
      <c r="A20" s="4" t="s">
        <v>10</v>
      </c>
      <c r="B20" s="1">
        <f>B18^2</f>
        <v>49</v>
      </c>
    </row>
    <row r="22" spans="1:2" x14ac:dyDescent="0.3">
      <c r="A22" s="2" t="s">
        <v>11</v>
      </c>
      <c r="B22" s="6">
        <v>45720</v>
      </c>
    </row>
    <row r="23" spans="1:2" x14ac:dyDescent="0.3">
      <c r="A23" s="2" t="s">
        <v>12</v>
      </c>
      <c r="B23" s="6">
        <v>45767</v>
      </c>
    </row>
    <row r="24" spans="1:2" x14ac:dyDescent="0.3">
      <c r="A24" s="2" t="s">
        <v>13</v>
      </c>
      <c r="B24" s="9">
        <f>B23-B22</f>
        <v>47</v>
      </c>
    </row>
    <row r="26" spans="1:2" x14ac:dyDescent="0.3">
      <c r="A26" s="2" t="s">
        <v>14</v>
      </c>
      <c r="B26" s="8">
        <v>1000</v>
      </c>
    </row>
    <row r="27" spans="1:2" x14ac:dyDescent="0.3">
      <c r="A27" s="2" t="s">
        <v>15</v>
      </c>
      <c r="B27" s="7">
        <v>0.23</v>
      </c>
    </row>
    <row r="28" spans="1:2" x14ac:dyDescent="0.3">
      <c r="A28" s="2" t="s">
        <v>18</v>
      </c>
      <c r="B28" s="5">
        <f>B27*B26</f>
        <v>230</v>
      </c>
    </row>
    <row r="29" spans="1:2" x14ac:dyDescent="0.3">
      <c r="A29" s="2" t="s">
        <v>19</v>
      </c>
      <c r="B29" s="5">
        <f>B28+B26</f>
        <v>1230</v>
      </c>
    </row>
    <row r="31" spans="1:2" x14ac:dyDescent="0.3">
      <c r="A31" s="2" t="s">
        <v>20</v>
      </c>
      <c r="B31" s="8">
        <v>2000</v>
      </c>
    </row>
    <row r="32" spans="1:2" x14ac:dyDescent="0.3">
      <c r="A32" s="2" t="s">
        <v>21</v>
      </c>
      <c r="B32" s="7">
        <v>0.02</v>
      </c>
    </row>
    <row r="33" spans="1:2" x14ac:dyDescent="0.3">
      <c r="A33" s="2" t="s">
        <v>22</v>
      </c>
      <c r="B33" s="5">
        <f>B32*B31</f>
        <v>40</v>
      </c>
    </row>
    <row r="34" spans="1:2" x14ac:dyDescent="0.3">
      <c r="A34" s="2" t="s">
        <v>23</v>
      </c>
      <c r="B34" s="5">
        <f>B31+B33</f>
        <v>2040</v>
      </c>
    </row>
    <row r="36" spans="1:2" x14ac:dyDescent="0.3">
      <c r="A36" s="2" t="s">
        <v>24</v>
      </c>
      <c r="B36" s="8">
        <v>1000</v>
      </c>
    </row>
    <row r="37" spans="1:2" x14ac:dyDescent="0.3">
      <c r="A37" s="2" t="s">
        <v>25</v>
      </c>
      <c r="B37" s="7">
        <v>0.11</v>
      </c>
    </row>
    <row r="38" spans="1:2" x14ac:dyDescent="0.3">
      <c r="A38" s="2" t="s">
        <v>26</v>
      </c>
      <c r="B38" s="7">
        <v>0.25</v>
      </c>
    </row>
    <row r="39" spans="1:2" x14ac:dyDescent="0.3">
      <c r="A39" s="2" t="s">
        <v>27</v>
      </c>
      <c r="B39" s="5">
        <f>B36*B37</f>
        <v>110</v>
      </c>
    </row>
    <row r="40" spans="1:2" x14ac:dyDescent="0.3">
      <c r="A40" s="2" t="s">
        <v>28</v>
      </c>
      <c r="B40" s="5">
        <f>B38*B36</f>
        <v>250</v>
      </c>
    </row>
    <row r="41" spans="1:2" x14ac:dyDescent="0.3">
      <c r="A41" s="2" t="s">
        <v>29</v>
      </c>
      <c r="B41" s="5">
        <f>B36-B40-B39</f>
        <v>640</v>
      </c>
    </row>
    <row r="43" spans="1:2" x14ac:dyDescent="0.3">
      <c r="A43" s="2" t="s">
        <v>30</v>
      </c>
      <c r="B43" s="10">
        <v>6</v>
      </c>
    </row>
    <row r="44" spans="1:2" x14ac:dyDescent="0.3">
      <c r="A44" s="2" t="s">
        <v>31</v>
      </c>
      <c r="B44" s="10">
        <v>300</v>
      </c>
    </row>
    <row r="45" spans="1:2" x14ac:dyDescent="0.3">
      <c r="A45" s="2" t="s">
        <v>32</v>
      </c>
      <c r="B45" s="8">
        <v>1.7</v>
      </c>
    </row>
    <row r="46" spans="1:2" x14ac:dyDescent="0.3">
      <c r="A46" s="2" t="s">
        <v>33</v>
      </c>
      <c r="B46" s="11">
        <f>B43*B44/100</f>
        <v>18</v>
      </c>
    </row>
    <row r="47" spans="1:2" x14ac:dyDescent="0.3">
      <c r="A47" s="2" t="s">
        <v>34</v>
      </c>
      <c r="B47" s="5">
        <f>B46*B45</f>
        <v>30.599999999999998</v>
      </c>
    </row>
    <row r="49" spans="1:1" x14ac:dyDescent="0.3">
      <c r="A49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Carvalhinho</dc:creator>
  <cp:lastModifiedBy>Carvalhinho</cp:lastModifiedBy>
  <dcterms:created xsi:type="dcterms:W3CDTF">2025-10-07T13:36:04Z</dcterms:created>
  <dcterms:modified xsi:type="dcterms:W3CDTF">2025-10-07T15:37:39Z</dcterms:modified>
</cp:coreProperties>
</file>