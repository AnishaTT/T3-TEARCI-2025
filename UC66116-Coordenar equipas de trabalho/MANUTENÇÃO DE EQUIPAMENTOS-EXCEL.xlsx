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sha\Desktop\ARCI\"/>
    </mc:Choice>
  </mc:AlternateContent>
  <xr:revisionPtr revIDLastSave="0" documentId="13_ncr:1_{CCF165E4-DB00-4278-AC24-C6619A0A3B41}" xr6:coauthVersionLast="47" xr6:coauthVersionMax="47" xr10:uidLastSave="{00000000-0000-0000-0000-000000000000}"/>
  <bookViews>
    <workbookView xWindow="-108" yWindow="-108" windowWidth="23256" windowHeight="12456" xr2:uid="{8C3266D9-39E7-4079-AC7D-449B014188E6}"/>
  </bookViews>
  <sheets>
    <sheet name="Folha1" sheetId="1" r:id="rId1"/>
    <sheet name="Folh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2" i="1" l="1"/>
  <c r="M26" i="1"/>
  <c r="E20" i="1"/>
  <c r="M24" i="1"/>
  <c r="M25" i="1"/>
  <c r="M23" i="1"/>
  <c r="K24" i="1"/>
  <c r="K25" i="1"/>
  <c r="K23" i="1"/>
  <c r="E7" i="1" l="1"/>
  <c r="E8" i="1"/>
  <c r="E9" i="1"/>
  <c r="E10" i="1"/>
  <c r="E11" i="1"/>
  <c r="J23" i="1"/>
  <c r="E12" i="1"/>
  <c r="E13" i="1"/>
  <c r="E14" i="1"/>
  <c r="E15" i="1"/>
  <c r="E16" i="1"/>
  <c r="E17" i="1"/>
  <c r="E18" i="1"/>
</calcChain>
</file>

<file path=xl/sharedStrings.xml><?xml version="1.0" encoding="utf-8"?>
<sst xmlns="http://schemas.openxmlformats.org/spreadsheetml/2006/main" count="42" uniqueCount="41">
  <si>
    <t>HORAS</t>
  </si>
  <si>
    <t>MINUTOS</t>
  </si>
  <si>
    <t>HH</t>
  </si>
  <si>
    <t>TOTAL</t>
  </si>
  <si>
    <t>Custo de material/Custos Especiais</t>
  </si>
  <si>
    <t>Ref.</t>
  </si>
  <si>
    <t>Designação</t>
  </si>
  <si>
    <t>Preço Unitário</t>
  </si>
  <si>
    <t xml:space="preserve">Quantidade </t>
  </si>
  <si>
    <t>Custo Total</t>
  </si>
  <si>
    <t>SA00S37</t>
  </si>
  <si>
    <t>S515A2Y</t>
  </si>
  <si>
    <t>AS51650</t>
  </si>
  <si>
    <t>SA55848</t>
  </si>
  <si>
    <t>S852ASX</t>
  </si>
  <si>
    <t>S59596A</t>
  </si>
  <si>
    <t>S554ADX</t>
  </si>
  <si>
    <t>S1447511</t>
  </si>
  <si>
    <t>S85965X</t>
  </si>
  <si>
    <t>S147851</t>
  </si>
  <si>
    <t>S100025</t>
  </si>
  <si>
    <t>S175962</t>
  </si>
  <si>
    <t>Cadeira Gamer SuperFrame Warrior, Reclinável</t>
  </si>
  <si>
    <t>SSD Kingston NV3, 500GB, M.2 NVMe, 2280, PCIe 4.0, Leitura 5000MBs e Gravação 3000MBs,</t>
  </si>
  <si>
    <t>Processador AMD Ryzen 5 5600GT, 3.6GHz (4.6GHz Turbo), 6-Cores 12-Threads,</t>
  </si>
  <si>
    <t>Memória DDR4 Hiksemi Armor U10, 8GB, 3200Mhz, Branco</t>
  </si>
  <si>
    <t>Mesa Gamer SuperFrame Epic RGB, Com Suporte Para Headset e Copo, Branco, SF-TB-</t>
  </si>
  <si>
    <t>Suporte Para Headset RGB Fifine S3, Sound Light Sync, Black</t>
  </si>
  <si>
    <t>Microfone Gamer Fifine Ampligame A6T, RGB, USB, Black, Com Braço Articulado</t>
  </si>
  <si>
    <t>Monitor Gamer SuperFrame View, 23.8 Pol, Full HD, Fast IPS, 1ms, 180Hz, 99% sRGB,</t>
  </si>
  <si>
    <t>Pasta Térmica SuperFrame Cryo, 9W/m-K, Alta Durabilidade e Performance, 5g</t>
  </si>
  <si>
    <t xml:space="preserve">Custo total </t>
  </si>
  <si>
    <t>Mouse gamer SCIMITAR ELITE WIRELESS SE MMO - Preto e amarelo</t>
  </si>
  <si>
    <t>Apple Watch Ultra 3</t>
  </si>
  <si>
    <t>Gráfica Asus GeForce® RTX 5090 ROG Astral OC 32GB GDDR7 DLSS4</t>
  </si>
  <si>
    <t xml:space="preserve">CUSTOS DE MÃO DE OBRA </t>
  </si>
  <si>
    <t xml:space="preserve">Sistema operativo </t>
  </si>
  <si>
    <t>CUSTO TOTAL</t>
  </si>
  <si>
    <t xml:space="preserve">TESTES </t>
  </si>
  <si>
    <t>Custo Padrão</t>
  </si>
  <si>
    <t>Tec.Montagem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</si>
</sst>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#,##0\ &quot;€&quot;;[Red]\-#,##0\ &quot;€&quot;"/>
    <numFmt numFmtId="8" formatCode="#,##0.00\ &quot;€&quot;;[Red]\-#,##0.00\ &quot;€&quot;"/>
    <numFmt numFmtId="164" formatCode="#,##0.00\ &quot;€&quot;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222222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/>
    </xf>
    <xf numFmtId="8" fontId="1" fillId="3" borderId="0" xfId="0" applyNumberFormat="1" applyFont="1" applyFill="1"/>
    <xf numFmtId="0" fontId="2" fillId="2" borderId="1" xfId="0" applyFont="1" applyFill="1" applyBorder="1" applyAlignment="1">
      <alignment vertical="center" wrapText="1"/>
    </xf>
    <xf numFmtId="6" fontId="2" fillId="6" borderId="1" xfId="0" applyNumberFormat="1" applyFont="1" applyFill="1" applyBorder="1" applyAlignment="1">
      <alignment horizontal="center" vertical="center" wrapText="1"/>
    </xf>
    <xf numFmtId="6" fontId="2" fillId="6" borderId="1" xfId="0" applyNumberFormat="1" applyFont="1" applyFill="1" applyBorder="1" applyAlignment="1">
      <alignment vertical="center" wrapText="1"/>
    </xf>
    <xf numFmtId="6" fontId="2" fillId="6" borderId="1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164" fontId="2" fillId="12" borderId="1" xfId="0" applyNumberFormat="1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vertical="center"/>
    </xf>
    <xf numFmtId="0" fontId="2" fillId="12" borderId="0" xfId="0" applyFont="1" applyFill="1" applyAlignment="1">
      <alignment vertical="center"/>
    </xf>
    <xf numFmtId="164" fontId="2" fillId="12" borderId="1" xfId="0" applyNumberFormat="1" applyFont="1" applyFill="1" applyBorder="1" applyAlignment="1">
      <alignment horizontal="center" vertical="center" wrapText="1"/>
    </xf>
    <xf numFmtId="164" fontId="2" fillId="12" borderId="1" xfId="0" applyNumberFormat="1" applyFont="1" applyFill="1" applyBorder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7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8" fontId="2" fillId="8" borderId="0" xfId="0" applyNumberFormat="1" applyFont="1" applyFill="1" applyAlignment="1">
      <alignment horizontal="center" vertical="center"/>
    </xf>
    <xf numFmtId="0" fontId="2" fillId="11" borderId="1" xfId="0" applyFont="1" applyFill="1" applyBorder="1"/>
    <xf numFmtId="0" fontId="2" fillId="4" borderId="1" xfId="0" applyFont="1" applyFill="1" applyBorder="1" applyAlignment="1">
      <alignment vertical="center" wrapText="1"/>
    </xf>
    <xf numFmtId="164" fontId="2" fillId="3" borderId="1" xfId="0" applyNumberFormat="1" applyFont="1" applyFill="1" applyBorder="1"/>
    <xf numFmtId="0" fontId="2" fillId="10" borderId="1" xfId="0" applyFont="1" applyFill="1" applyBorder="1"/>
    <xf numFmtId="8" fontId="2" fillId="9" borderId="1" xfId="0" applyNumberFormat="1" applyFont="1" applyFill="1" applyBorder="1"/>
    <xf numFmtId="0" fontId="4" fillId="4" borderId="0" xfId="0" applyFont="1" applyFill="1" applyAlignment="1">
      <alignment wrapText="1"/>
    </xf>
    <xf numFmtId="0" fontId="2" fillId="4" borderId="1" xfId="0" applyFont="1" applyFill="1" applyBorder="1" applyAlignment="1">
      <alignment wrapText="1"/>
    </xf>
    <xf numFmtId="0" fontId="2" fillId="10" borderId="2" xfId="0" applyFont="1" applyFill="1" applyBorder="1"/>
    <xf numFmtId="8" fontId="2" fillId="9" borderId="2" xfId="0" applyNumberFormat="1" applyFont="1" applyFill="1" applyBorder="1"/>
    <xf numFmtId="0" fontId="3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99CC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530C1-A226-4138-97FE-1A9605D156C3}">
  <dimension ref="A3:M26"/>
  <sheetViews>
    <sheetView tabSelected="1" topLeftCell="B13" zoomScale="82" zoomScaleNormal="82" workbookViewId="0">
      <selection activeCell="L29" sqref="L29"/>
    </sheetView>
  </sheetViews>
  <sheetFormatPr defaultRowHeight="14.4" x14ac:dyDescent="0.3"/>
  <cols>
    <col min="1" max="1" width="34.33203125" style="1" bestFit="1" customWidth="1"/>
    <col min="2" max="2" width="40.33203125" bestFit="1" customWidth="1"/>
    <col min="3" max="3" width="26.44140625" style="1" customWidth="1"/>
    <col min="4" max="4" width="16.109375" style="1" customWidth="1"/>
    <col min="5" max="5" width="30.109375" style="1" customWidth="1"/>
    <col min="6" max="6" width="14.33203125" customWidth="1"/>
    <col min="7" max="7" width="5.33203125" customWidth="1"/>
    <col min="8" max="8" width="15.77734375" customWidth="1"/>
    <col min="10" max="11" width="13.109375" customWidth="1"/>
    <col min="12" max="12" width="18.5546875" customWidth="1"/>
    <col min="13" max="13" width="25.5546875" customWidth="1"/>
    <col min="14" max="14" width="14.109375" customWidth="1"/>
    <col min="15" max="15" width="17.109375" customWidth="1"/>
  </cols>
  <sheetData>
    <row r="3" spans="1:5" ht="16.8" customHeight="1" x14ac:dyDescent="0.3"/>
    <row r="4" spans="1:5" ht="25.2" customHeight="1" x14ac:dyDescent="0.3">
      <c r="A4" s="32" t="s">
        <v>4</v>
      </c>
    </row>
    <row r="5" spans="1:5" hidden="1" x14ac:dyDescent="0.3"/>
    <row r="6" spans="1:5" ht="44.4" customHeight="1" x14ac:dyDescent="0.3">
      <c r="A6" s="19" t="s">
        <v>5</v>
      </c>
      <c r="B6" s="19" t="s">
        <v>6</v>
      </c>
      <c r="C6" s="19" t="s">
        <v>7</v>
      </c>
      <c r="D6" s="19" t="s">
        <v>8</v>
      </c>
      <c r="E6" s="20" t="s">
        <v>9</v>
      </c>
    </row>
    <row r="7" spans="1:5" ht="54" x14ac:dyDescent="0.35">
      <c r="A7" s="23" t="s">
        <v>10</v>
      </c>
      <c r="B7" s="24" t="s">
        <v>32</v>
      </c>
      <c r="C7" s="25">
        <v>149.99</v>
      </c>
      <c r="D7" s="26">
        <v>1</v>
      </c>
      <c r="E7" s="27">
        <f>C7*D7</f>
        <v>149.99</v>
      </c>
    </row>
    <row r="8" spans="1:5" ht="36" x14ac:dyDescent="0.35">
      <c r="A8" s="23" t="s">
        <v>13</v>
      </c>
      <c r="B8" s="28" t="s">
        <v>34</v>
      </c>
      <c r="C8" s="25">
        <v>3299</v>
      </c>
      <c r="D8" s="26">
        <v>1</v>
      </c>
      <c r="E8" s="27">
        <f>C8*D8</f>
        <v>3299</v>
      </c>
    </row>
    <row r="9" spans="1:5" ht="36" x14ac:dyDescent="0.35">
      <c r="A9" s="23" t="s">
        <v>11</v>
      </c>
      <c r="B9" s="29" t="s">
        <v>22</v>
      </c>
      <c r="C9" s="25">
        <v>520</v>
      </c>
      <c r="D9" s="26">
        <v>1</v>
      </c>
      <c r="E9" s="27">
        <f>C9*D9</f>
        <v>520</v>
      </c>
    </row>
    <row r="10" spans="1:5" ht="54" x14ac:dyDescent="0.35">
      <c r="A10" s="23" t="s">
        <v>12</v>
      </c>
      <c r="B10" s="29" t="s">
        <v>23</v>
      </c>
      <c r="C10" s="25">
        <v>79.900000000000006</v>
      </c>
      <c r="D10" s="26">
        <v>2</v>
      </c>
      <c r="E10" s="27">
        <f>C10*D10</f>
        <v>159.80000000000001</v>
      </c>
    </row>
    <row r="11" spans="1:5" ht="54" x14ac:dyDescent="0.35">
      <c r="A11" s="23" t="s">
        <v>14</v>
      </c>
      <c r="B11" s="24" t="s">
        <v>24</v>
      </c>
      <c r="C11" s="25">
        <v>139.99</v>
      </c>
      <c r="D11" s="26">
        <v>1</v>
      </c>
      <c r="E11" s="27">
        <f>C11*D11</f>
        <v>139.99</v>
      </c>
    </row>
    <row r="12" spans="1:5" ht="69" customHeight="1" x14ac:dyDescent="0.35">
      <c r="A12" s="23" t="s">
        <v>15</v>
      </c>
      <c r="B12" s="29" t="s">
        <v>25</v>
      </c>
      <c r="C12" s="25">
        <v>128</v>
      </c>
      <c r="D12" s="26">
        <v>1</v>
      </c>
      <c r="E12" s="27">
        <f t="shared" ref="E12:E18" si="0">C12*D12</f>
        <v>128</v>
      </c>
    </row>
    <row r="13" spans="1:5" ht="54" x14ac:dyDescent="0.35">
      <c r="A13" s="23" t="s">
        <v>16</v>
      </c>
      <c r="B13" s="24" t="s">
        <v>26</v>
      </c>
      <c r="C13" s="25">
        <v>199.99</v>
      </c>
      <c r="D13" s="26">
        <v>1</v>
      </c>
      <c r="E13" s="27">
        <f t="shared" si="0"/>
        <v>199.99</v>
      </c>
    </row>
    <row r="14" spans="1:5" ht="36" x14ac:dyDescent="0.35">
      <c r="A14" s="23" t="s">
        <v>17</v>
      </c>
      <c r="B14" s="24" t="s">
        <v>27</v>
      </c>
      <c r="C14" s="25">
        <v>258.99</v>
      </c>
      <c r="D14" s="26">
        <v>1</v>
      </c>
      <c r="E14" s="27">
        <f t="shared" si="0"/>
        <v>258.99</v>
      </c>
    </row>
    <row r="15" spans="1:5" ht="54" x14ac:dyDescent="0.35">
      <c r="A15" s="23" t="s">
        <v>18</v>
      </c>
      <c r="B15" s="29" t="s">
        <v>28</v>
      </c>
      <c r="C15" s="25">
        <v>229.9</v>
      </c>
      <c r="D15" s="26">
        <v>1</v>
      </c>
      <c r="E15" s="27">
        <f t="shared" si="0"/>
        <v>229.9</v>
      </c>
    </row>
    <row r="16" spans="1:5" ht="56.4" customHeight="1" x14ac:dyDescent="0.35">
      <c r="A16" s="23" t="s">
        <v>19</v>
      </c>
      <c r="B16" s="24" t="s">
        <v>29</v>
      </c>
      <c r="C16" s="25">
        <v>189</v>
      </c>
      <c r="D16" s="26">
        <v>1</v>
      </c>
      <c r="E16" s="27">
        <f t="shared" si="0"/>
        <v>189</v>
      </c>
    </row>
    <row r="17" spans="1:13" ht="54" x14ac:dyDescent="0.35">
      <c r="A17" s="23" t="s">
        <v>20</v>
      </c>
      <c r="B17" s="24" t="s">
        <v>30</v>
      </c>
      <c r="C17" s="25">
        <v>19</v>
      </c>
      <c r="D17" s="26">
        <v>2</v>
      </c>
      <c r="E17" s="27">
        <f t="shared" si="0"/>
        <v>38</v>
      </c>
    </row>
    <row r="18" spans="1:13" ht="43.8" customHeight="1" x14ac:dyDescent="0.35">
      <c r="A18" s="23" t="s">
        <v>21</v>
      </c>
      <c r="B18" s="24" t="s">
        <v>33</v>
      </c>
      <c r="C18" s="25">
        <v>909</v>
      </c>
      <c r="D18" s="30">
        <v>1</v>
      </c>
      <c r="E18" s="31">
        <f t="shared" si="0"/>
        <v>909</v>
      </c>
    </row>
    <row r="20" spans="1:13" ht="28.8" customHeight="1" x14ac:dyDescent="0.3">
      <c r="D20" s="3" t="s">
        <v>3</v>
      </c>
      <c r="E20" s="4">
        <f>SUM(E7:E18)</f>
        <v>6221.6599999999989</v>
      </c>
    </row>
    <row r="21" spans="1:13" ht="26.4" customHeight="1" x14ac:dyDescent="0.3"/>
    <row r="22" spans="1:13" ht="54" x14ac:dyDescent="0.3">
      <c r="A22" s="21" t="s">
        <v>31</v>
      </c>
      <c r="B22" s="22">
        <f>SUM(E20+M26)</f>
        <v>6408.3266666666659</v>
      </c>
      <c r="D22" s="2"/>
      <c r="H22" s="5" t="s">
        <v>35</v>
      </c>
      <c r="I22" s="9" t="s">
        <v>0</v>
      </c>
      <c r="J22" s="10" t="s">
        <v>1</v>
      </c>
      <c r="K22" s="10" t="s">
        <v>2</v>
      </c>
      <c r="L22" s="10" t="s">
        <v>39</v>
      </c>
      <c r="M22" s="10" t="s">
        <v>37</v>
      </c>
    </row>
    <row r="23" spans="1:13" ht="36" x14ac:dyDescent="0.3">
      <c r="H23" s="6" t="s">
        <v>40</v>
      </c>
      <c r="I23" s="11">
        <v>4</v>
      </c>
      <c r="J23" s="11">
        <f>-M21</f>
        <v>0</v>
      </c>
      <c r="K23" s="12">
        <f>I23+J23/60</f>
        <v>4</v>
      </c>
      <c r="L23" s="12">
        <v>30</v>
      </c>
      <c r="M23" s="16">
        <f>SUM(K23*L23)</f>
        <v>120</v>
      </c>
    </row>
    <row r="24" spans="1:13" ht="36" x14ac:dyDescent="0.3">
      <c r="H24" s="7" t="s">
        <v>36</v>
      </c>
      <c r="I24" s="11"/>
      <c r="J24" s="13">
        <v>40</v>
      </c>
      <c r="K24" s="12">
        <f t="shared" ref="K24:K25" si="1">I24+J24/60</f>
        <v>0.66666666666666663</v>
      </c>
      <c r="L24" s="15">
        <v>50</v>
      </c>
      <c r="M24" s="16">
        <f t="shared" ref="M24:M25" si="2">SUM(K24*L24)</f>
        <v>33.333333333333329</v>
      </c>
    </row>
    <row r="25" spans="1:13" ht="18" x14ac:dyDescent="0.3">
      <c r="H25" s="8" t="s">
        <v>38</v>
      </c>
      <c r="I25" s="14"/>
      <c r="J25" s="13">
        <v>40</v>
      </c>
      <c r="K25" s="12">
        <f t="shared" si="1"/>
        <v>0.66666666666666663</v>
      </c>
      <c r="L25" s="15">
        <v>50</v>
      </c>
      <c r="M25" s="16">
        <f t="shared" si="2"/>
        <v>33.333333333333329</v>
      </c>
    </row>
    <row r="26" spans="1:13" ht="18" x14ac:dyDescent="0.3">
      <c r="L26" s="18" t="s">
        <v>3</v>
      </c>
      <c r="M26" s="17">
        <f>SUM(M23:M25)</f>
        <v>186.66666666666663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C5F50-69DE-4B92-9A9C-9FC10C805B1D}">
  <dimension ref="A1"/>
  <sheetViews>
    <sheetView workbookViewId="0">
      <selection activeCell="B3" sqref="B3"/>
    </sheetView>
  </sheetViews>
  <sheetFormatPr defaultRowHeight="14.4" x14ac:dyDescent="0.3"/>
  <cols>
    <col min="2" max="2" width="17.21875" customWidth="1"/>
    <col min="3" max="3" width="17.33203125" customWidth="1"/>
    <col min="4" max="4" width="17.441406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Folha1</vt:lpstr>
      <vt:lpstr>Folha2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Laureane Martelini</dc:creator>
  <cp:lastModifiedBy>Anisha Taju</cp:lastModifiedBy>
  <dcterms:created xsi:type="dcterms:W3CDTF">2026-01-06T09:24:39Z</dcterms:created>
  <dcterms:modified xsi:type="dcterms:W3CDTF">2026-01-06T16:16:58Z</dcterms:modified>
</cp:coreProperties>
</file>