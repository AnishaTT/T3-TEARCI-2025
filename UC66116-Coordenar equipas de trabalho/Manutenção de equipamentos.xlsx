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sha\Desktop\ARCI\"/>
    </mc:Choice>
  </mc:AlternateContent>
  <xr:revisionPtr revIDLastSave="0" documentId="13_ncr:1_{66F64FEA-11BB-4CEC-8716-ACF7485D7830}" xr6:coauthVersionLast="47" xr6:coauthVersionMax="47" xr10:uidLastSave="{00000000-0000-0000-0000-000000000000}"/>
  <bookViews>
    <workbookView xWindow="-108" yWindow="-108" windowWidth="23256" windowHeight="12456" xr2:uid="{AC8805FE-E16A-49C2-B0E8-936A12FDB64F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0" i="1" l="1"/>
  <c r="E37" i="1"/>
  <c r="E34" i="1"/>
  <c r="E35" i="1"/>
  <c r="E36" i="1"/>
  <c r="C16" i="1"/>
  <c r="G26" i="1"/>
  <c r="G27" i="1"/>
  <c r="G25" i="1"/>
  <c r="E25" i="1"/>
  <c r="C20" i="1"/>
  <c r="D16" i="1"/>
  <c r="C13" i="1"/>
  <c r="C6" i="1"/>
  <c r="C7" i="1"/>
  <c r="C9" i="1" s="1"/>
  <c r="C8" i="1"/>
  <c r="G28" i="1" l="1"/>
</calcChain>
</file>

<file path=xl/sharedStrings.xml><?xml version="1.0" encoding="utf-8"?>
<sst xmlns="http://schemas.openxmlformats.org/spreadsheetml/2006/main" count="45" uniqueCount="36">
  <si>
    <t>Ex1:</t>
  </si>
  <si>
    <t>Mecanico de 1ª (4HH)</t>
  </si>
  <si>
    <t>Ajudante de mecânica(5HH)</t>
  </si>
  <si>
    <t>Eletricista(5HH)</t>
  </si>
  <si>
    <t>Custo padrão</t>
  </si>
  <si>
    <t xml:space="preserve">Custo total </t>
  </si>
  <si>
    <t xml:space="preserve">custo total= custo Total (MDO+  custo </t>
  </si>
  <si>
    <t>Ex2:</t>
  </si>
  <si>
    <t>Ex3:</t>
  </si>
  <si>
    <t>10 trabalhadores(5H22")</t>
  </si>
  <si>
    <t>Mecanico de 1ª (2H40")</t>
  </si>
  <si>
    <t xml:space="preserve">Custo Individual </t>
  </si>
  <si>
    <t>Mecanico de 1ª (7H5")</t>
  </si>
  <si>
    <t>Mecânico de 1ª</t>
  </si>
  <si>
    <t>Ajudante de mecânica</t>
  </si>
  <si>
    <t>Eletricista</t>
  </si>
  <si>
    <t>Horas</t>
  </si>
  <si>
    <t>Minutos</t>
  </si>
  <si>
    <t>Segundos</t>
  </si>
  <si>
    <t>Custo Padrão(HH)</t>
  </si>
  <si>
    <t>Custo Total(MDO)</t>
  </si>
  <si>
    <t>TOTAL</t>
  </si>
  <si>
    <t>Ex4:</t>
  </si>
  <si>
    <t>Total de Horas-Homem(HH)</t>
  </si>
  <si>
    <t xml:space="preserve">Custo de material/ Custos especiais </t>
  </si>
  <si>
    <t>Designação</t>
  </si>
  <si>
    <t>Preço Unitário</t>
  </si>
  <si>
    <t xml:space="preserve">Quantidade </t>
  </si>
  <si>
    <t>Custo Total</t>
  </si>
  <si>
    <t>SA400S37/120G</t>
  </si>
  <si>
    <t>Kingston A400 SSD 120GB</t>
  </si>
  <si>
    <t>Ref.</t>
  </si>
  <si>
    <t>Kingston A420 SSD 120GB</t>
  </si>
  <si>
    <t>Kingston A460 SSD 120GB</t>
  </si>
  <si>
    <t>Custos de MDO</t>
  </si>
  <si>
    <t>Custo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</si>
</sst>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CC99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/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/>
    </xf>
    <xf numFmtId="44" fontId="4" fillId="3" borderId="1" xfId="1" applyFont="1" applyFill="1" applyBorder="1" applyAlignment="1">
      <alignment horizontal="center" vertical="center"/>
    </xf>
    <xf numFmtId="44" fontId="4" fillId="3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/>
    <xf numFmtId="0" fontId="3" fillId="2" borderId="1" xfId="0" applyFont="1" applyFill="1" applyBorder="1"/>
    <xf numFmtId="0" fontId="4" fillId="3" borderId="1" xfId="0" applyFont="1" applyFill="1" applyBorder="1"/>
    <xf numFmtId="44" fontId="4" fillId="3" borderId="1" xfId="0" applyNumberFormat="1" applyFont="1" applyFill="1" applyBorder="1"/>
    <xf numFmtId="44" fontId="4" fillId="4" borderId="1" xfId="0" applyNumberFormat="1" applyFont="1" applyFill="1" applyBorder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44" fontId="4" fillId="0" borderId="1" xfId="1" applyFont="1" applyBorder="1" applyAlignment="1">
      <alignment horizontal="center"/>
    </xf>
    <xf numFmtId="44" fontId="4" fillId="6" borderId="1" xfId="0" applyNumberFormat="1" applyFont="1" applyFill="1" applyBorder="1" applyAlignment="1">
      <alignment horizontal="center"/>
    </xf>
    <xf numFmtId="44" fontId="0" fillId="6" borderId="3" xfId="0" applyNumberFormat="1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44" fontId="3" fillId="6" borderId="1" xfId="0" applyNumberFormat="1" applyFont="1" applyFill="1" applyBorder="1" applyAlignment="1">
      <alignment horizontal="center" vertical="center"/>
    </xf>
    <xf numFmtId="44" fontId="4" fillId="6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/>
    <xf numFmtId="44" fontId="3" fillId="5" borderId="1" xfId="1" applyFont="1" applyFill="1" applyBorder="1" applyAlignment="1">
      <alignment horizontal="center"/>
    </xf>
    <xf numFmtId="44" fontId="3" fillId="5" borderId="1" xfId="0" applyNumberFormat="1" applyFont="1" applyFill="1" applyBorder="1"/>
    <xf numFmtId="44" fontId="0" fillId="7" borderId="0" xfId="0" applyNumberFormat="1" applyFill="1"/>
    <xf numFmtId="0" fontId="4" fillId="7" borderId="0" xfId="0" applyFont="1" applyFill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FFCC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274D3-520E-4E5E-A970-0D165C6979AB}">
  <dimension ref="A1:G40"/>
  <sheetViews>
    <sheetView tabSelected="1" topLeftCell="A19" zoomScale="112" zoomScaleNormal="112" workbookViewId="0">
      <selection activeCell="D41" sqref="D41"/>
    </sheetView>
  </sheetViews>
  <sheetFormatPr defaultRowHeight="14.4" x14ac:dyDescent="0.3"/>
  <cols>
    <col min="1" max="1" width="27" bestFit="1" customWidth="1"/>
    <col min="2" max="2" width="26.109375" bestFit="1" customWidth="1"/>
    <col min="3" max="3" width="16.21875" bestFit="1" customWidth="1"/>
    <col min="4" max="4" width="12.88671875" customWidth="1"/>
    <col min="5" max="5" width="31.44140625" customWidth="1"/>
    <col min="6" max="6" width="17.6640625" bestFit="1" customWidth="1"/>
    <col min="7" max="7" width="18" bestFit="1" customWidth="1"/>
  </cols>
  <sheetData>
    <row r="1" spans="1:4" x14ac:dyDescent="0.3">
      <c r="A1" t="s">
        <v>6</v>
      </c>
    </row>
    <row r="5" spans="1:4" ht="15.6" x14ac:dyDescent="0.3">
      <c r="A5" s="7" t="s">
        <v>0</v>
      </c>
      <c r="B5" s="7" t="s">
        <v>4</v>
      </c>
      <c r="C5" s="7" t="s">
        <v>5</v>
      </c>
    </row>
    <row r="6" spans="1:4" ht="15.6" x14ac:dyDescent="0.3">
      <c r="A6" s="2" t="s">
        <v>1</v>
      </c>
      <c r="B6" s="5">
        <v>9.1</v>
      </c>
      <c r="C6" s="6">
        <f>B6*4</f>
        <v>36.4</v>
      </c>
    </row>
    <row r="7" spans="1:4" ht="15.6" x14ac:dyDescent="0.3">
      <c r="A7" s="2" t="s">
        <v>2</v>
      </c>
      <c r="B7" s="5">
        <v>5.2</v>
      </c>
      <c r="C7" s="6">
        <f>B7*5</f>
        <v>26</v>
      </c>
    </row>
    <row r="8" spans="1:4" ht="15.6" x14ac:dyDescent="0.3">
      <c r="A8" s="2" t="s">
        <v>3</v>
      </c>
      <c r="B8" s="5">
        <v>9.1</v>
      </c>
      <c r="C8" s="6">
        <f>B8*5</f>
        <v>45.5</v>
      </c>
    </row>
    <row r="9" spans="1:4" ht="15.6" x14ac:dyDescent="0.3">
      <c r="A9" s="12"/>
      <c r="B9" s="12"/>
      <c r="C9" s="11">
        <f>SUM(C6:C8)</f>
        <v>107.9</v>
      </c>
    </row>
    <row r="10" spans="1:4" x14ac:dyDescent="0.3">
      <c r="A10" s="1"/>
      <c r="B10" s="1"/>
      <c r="C10" s="1"/>
    </row>
    <row r="11" spans="1:4" x14ac:dyDescent="0.3">
      <c r="A11" s="1"/>
      <c r="B11" s="1"/>
      <c r="C11" s="1"/>
    </row>
    <row r="12" spans="1:4" ht="15.6" x14ac:dyDescent="0.3">
      <c r="A12" s="7" t="s">
        <v>7</v>
      </c>
      <c r="B12" s="7" t="s">
        <v>4</v>
      </c>
      <c r="C12" s="7" t="s">
        <v>5</v>
      </c>
    </row>
    <row r="13" spans="1:4" ht="15.6" x14ac:dyDescent="0.3">
      <c r="A13" s="9" t="s">
        <v>10</v>
      </c>
      <c r="B13" s="5">
        <v>9.1</v>
      </c>
      <c r="C13" s="10">
        <f>2*9.1+ 40/60*9.1</f>
        <v>24.266666666666666</v>
      </c>
    </row>
    <row r="14" spans="1:4" x14ac:dyDescent="0.3">
      <c r="A14" s="1"/>
      <c r="B14" s="1"/>
      <c r="C14" s="1"/>
    </row>
    <row r="15" spans="1:4" ht="15.6" customHeight="1" x14ac:dyDescent="0.3">
      <c r="A15" s="7" t="s">
        <v>8</v>
      </c>
      <c r="B15" s="7" t="s">
        <v>4</v>
      </c>
      <c r="C15" s="7" t="s">
        <v>11</v>
      </c>
      <c r="D15" s="8" t="s">
        <v>5</v>
      </c>
    </row>
    <row r="16" spans="1:4" ht="15.6" x14ac:dyDescent="0.3">
      <c r="A16" s="9" t="s">
        <v>9</v>
      </c>
      <c r="B16" s="5">
        <v>3.5</v>
      </c>
      <c r="C16" s="5">
        <f>5*3.5+(22/60)*3.5</f>
        <v>18.783333333333331</v>
      </c>
      <c r="D16" s="22">
        <f>C16*10</f>
        <v>187.83333333333331</v>
      </c>
    </row>
    <row r="17" spans="1:7" x14ac:dyDescent="0.3">
      <c r="A17" s="1"/>
      <c r="B17" s="1"/>
      <c r="C17" s="1"/>
    </row>
    <row r="18" spans="1:7" x14ac:dyDescent="0.3">
      <c r="A18" s="1"/>
      <c r="B18" s="1"/>
      <c r="C18" s="1"/>
    </row>
    <row r="19" spans="1:7" ht="15.6" x14ac:dyDescent="0.3">
      <c r="A19" s="3" t="s">
        <v>22</v>
      </c>
      <c r="B19" s="4" t="s">
        <v>4</v>
      </c>
      <c r="C19" s="4" t="s">
        <v>5</v>
      </c>
    </row>
    <row r="20" spans="1:7" ht="15.6" x14ac:dyDescent="0.3">
      <c r="A20" s="2" t="s">
        <v>12</v>
      </c>
      <c r="B20" s="5">
        <v>12</v>
      </c>
      <c r="C20" s="23">
        <f>7*12+ 30/60*12</f>
        <v>90</v>
      </c>
    </row>
    <row r="24" spans="1:7" ht="15.6" x14ac:dyDescent="0.3">
      <c r="A24" t="s">
        <v>34</v>
      </c>
      <c r="B24" s="4" t="s">
        <v>16</v>
      </c>
      <c r="C24" s="4" t="s">
        <v>17</v>
      </c>
      <c r="D24" s="4" t="s">
        <v>18</v>
      </c>
      <c r="E24" s="4" t="s">
        <v>23</v>
      </c>
      <c r="F24" s="4" t="s">
        <v>19</v>
      </c>
      <c r="G24" s="4" t="s">
        <v>20</v>
      </c>
    </row>
    <row r="25" spans="1:7" ht="15.6" x14ac:dyDescent="0.3">
      <c r="A25" s="2" t="s">
        <v>13</v>
      </c>
      <c r="B25" s="24">
        <v>7</v>
      </c>
      <c r="C25" s="24">
        <v>45</v>
      </c>
      <c r="D25" s="25"/>
      <c r="E25" s="25">
        <f>B25+C25/60+D25/3600</f>
        <v>7.75</v>
      </c>
      <c r="F25" s="26">
        <v>9.1</v>
      </c>
      <c r="G25" s="27">
        <f>E25*F25</f>
        <v>70.524999999999991</v>
      </c>
    </row>
    <row r="26" spans="1:7" ht="15.6" x14ac:dyDescent="0.3">
      <c r="A26" s="2" t="s">
        <v>14</v>
      </c>
      <c r="B26" s="24">
        <v>3</v>
      </c>
      <c r="C26" s="24">
        <v>15</v>
      </c>
      <c r="D26" s="25">
        <v>7</v>
      </c>
      <c r="E26" s="25">
        <v>5</v>
      </c>
      <c r="F26" s="26">
        <v>5.2</v>
      </c>
      <c r="G26" s="27">
        <f t="shared" ref="G26:G27" si="0">E26*F26</f>
        <v>26</v>
      </c>
    </row>
    <row r="27" spans="1:7" ht="15.6" x14ac:dyDescent="0.3">
      <c r="A27" s="2" t="s">
        <v>15</v>
      </c>
      <c r="B27" s="25"/>
      <c r="C27" s="24">
        <v>40</v>
      </c>
      <c r="D27" s="25"/>
      <c r="E27" s="25">
        <v>5</v>
      </c>
      <c r="F27" s="26">
        <v>9.1</v>
      </c>
      <c r="G27" s="27">
        <f t="shared" si="0"/>
        <v>45.5</v>
      </c>
    </row>
    <row r="28" spans="1:7" x14ac:dyDescent="0.3">
      <c r="F28" s="13" t="s">
        <v>21</v>
      </c>
      <c r="G28" s="20">
        <f>SUM(G25:G27)</f>
        <v>142.02499999999998</v>
      </c>
    </row>
    <row r="29" spans="1:7" x14ac:dyDescent="0.3">
      <c r="F29" s="14"/>
      <c r="G29" s="21"/>
    </row>
    <row r="32" spans="1:7" ht="15.6" x14ac:dyDescent="0.3">
      <c r="A32" s="15" t="s">
        <v>24</v>
      </c>
      <c r="B32" s="15"/>
      <c r="C32" s="1"/>
      <c r="D32" s="1"/>
      <c r="E32" s="1"/>
    </row>
    <row r="33" spans="1:5" ht="15.6" x14ac:dyDescent="0.3">
      <c r="A33" s="16" t="s">
        <v>31</v>
      </c>
      <c r="B33" s="16" t="s">
        <v>25</v>
      </c>
      <c r="C33" s="16" t="s">
        <v>26</v>
      </c>
      <c r="D33" s="16" t="s">
        <v>27</v>
      </c>
      <c r="E33" s="16" t="s">
        <v>28</v>
      </c>
    </row>
    <row r="34" spans="1:5" ht="15.6" x14ac:dyDescent="0.3">
      <c r="A34" s="17" t="s">
        <v>29</v>
      </c>
      <c r="B34" s="17" t="s">
        <v>30</v>
      </c>
      <c r="C34" s="18">
        <v>22.86</v>
      </c>
      <c r="D34" s="17">
        <v>3</v>
      </c>
      <c r="E34" s="19">
        <f>C34*D34</f>
        <v>68.58</v>
      </c>
    </row>
    <row r="35" spans="1:5" ht="15.6" x14ac:dyDescent="0.3">
      <c r="A35" s="17" t="s">
        <v>29</v>
      </c>
      <c r="B35" s="17" t="s">
        <v>32</v>
      </c>
      <c r="C35" s="18">
        <v>11</v>
      </c>
      <c r="D35" s="17">
        <v>2</v>
      </c>
      <c r="E35" s="19">
        <f t="shared" ref="E35:E37" si="1">C35*D35</f>
        <v>22</v>
      </c>
    </row>
    <row r="36" spans="1:5" ht="15.6" x14ac:dyDescent="0.3">
      <c r="A36" s="17" t="s">
        <v>29</v>
      </c>
      <c r="B36" s="17" t="s">
        <v>33</v>
      </c>
      <c r="C36" s="18">
        <v>58</v>
      </c>
      <c r="D36" s="17">
        <v>4</v>
      </c>
      <c r="E36" s="19">
        <f t="shared" si="1"/>
        <v>232</v>
      </c>
    </row>
    <row r="37" spans="1:5" ht="15.6" x14ac:dyDescent="0.3">
      <c r="A37" s="17"/>
      <c r="B37" s="17"/>
      <c r="C37" s="18"/>
      <c r="D37" s="17" t="s">
        <v>21</v>
      </c>
      <c r="E37" s="19">
        <f>SUM(E34:E36)</f>
        <v>322.58</v>
      </c>
    </row>
    <row r="40" spans="1:5" ht="15.6" x14ac:dyDescent="0.3">
      <c r="A40" s="29" t="s">
        <v>35</v>
      </c>
      <c r="B40" s="28">
        <f>G28+E37</f>
        <v>464.60499999999996</v>
      </c>
    </row>
  </sheetData>
  <mergeCells count="3">
    <mergeCell ref="G28:G29"/>
    <mergeCell ref="F28:F29"/>
    <mergeCell ref="A32:B3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Anisha Taju</dc:creator>
  <cp:lastModifiedBy>Anisha Taju</cp:lastModifiedBy>
  <dcterms:created xsi:type="dcterms:W3CDTF">2026-01-06T09:32:31Z</dcterms:created>
  <dcterms:modified xsi:type="dcterms:W3CDTF">2026-01-06T12:09:04Z</dcterms:modified>
</cp:coreProperties>
</file>