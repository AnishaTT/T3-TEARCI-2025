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3.xml" ContentType="application/vnd.openxmlformats-officedocument.drawing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Anisha\Desktop\ARCI\Matematica\"/>
    </mc:Choice>
  </mc:AlternateContent>
  <xr:revisionPtr revIDLastSave="0" documentId="13_ncr:1_{C42896B2-CDA4-4AFE-BB7B-A3187E402F80}" xr6:coauthVersionLast="47" xr6:coauthVersionMax="47" xr10:uidLastSave="{00000000-0000-0000-0000-000000000000}"/>
  <bookViews>
    <workbookView xWindow="11424" yWindow="0" windowWidth="11712" windowHeight="12336" tabRatio="500" xr2:uid="{00000000-000D-0000-FFFF-FFFF00000000}"/>
  </bookViews>
  <sheets>
    <sheet name="1. Lista de Deputados" sheetId="2" r:id="rId1"/>
    <sheet name="2. Partidos e Proporção" sheetId="3" r:id="rId2"/>
    <sheet name="3. Deputados por Género" sheetId="4" r:id="rId3"/>
    <sheet name="4. Evolução" sheetId="5" r:id="rId4"/>
  </sheets>
  <calcPr calcId="191029" iterateDelta="1E-4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E4" i="2" l="1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4" i="2"/>
  <c r="E35" i="2"/>
  <c r="E36" i="2"/>
  <c r="E37" i="2"/>
  <c r="E38" i="2"/>
  <c r="E39" i="2"/>
  <c r="E40" i="2"/>
  <c r="E41" i="2"/>
  <c r="E42" i="2"/>
  <c r="E43" i="2"/>
  <c r="E44" i="2"/>
  <c r="E45" i="2"/>
  <c r="E46" i="2"/>
  <c r="E47" i="2"/>
  <c r="E48" i="2"/>
  <c r="E49" i="2"/>
  <c r="E50" i="2"/>
  <c r="E51" i="2"/>
  <c r="E52" i="2"/>
  <c r="E53" i="2"/>
  <c r="E54" i="2"/>
  <c r="E55" i="2"/>
  <c r="E56" i="2"/>
  <c r="E57" i="2"/>
  <c r="E58" i="2"/>
  <c r="E59" i="2"/>
  <c r="E60" i="2"/>
  <c r="E61" i="2"/>
  <c r="E62" i="2"/>
  <c r="E63" i="2"/>
  <c r="E64" i="2"/>
  <c r="E65" i="2"/>
  <c r="E66" i="2"/>
  <c r="E67" i="2"/>
  <c r="E68" i="2"/>
  <c r="E69" i="2"/>
  <c r="E70" i="2"/>
  <c r="E71" i="2"/>
  <c r="E72" i="2"/>
  <c r="E73" i="2"/>
  <c r="E74" i="2"/>
  <c r="E75" i="2"/>
  <c r="E76" i="2"/>
  <c r="E77" i="2"/>
  <c r="E78" i="2"/>
  <c r="E79" i="2"/>
  <c r="E80" i="2"/>
  <c r="E81" i="2"/>
  <c r="E82" i="2"/>
  <c r="E83" i="2"/>
  <c r="E84" i="2"/>
  <c r="E85" i="2"/>
  <c r="E86" i="2"/>
  <c r="E87" i="2"/>
  <c r="E88" i="2"/>
  <c r="E89" i="2"/>
  <c r="E90" i="2"/>
  <c r="E91" i="2"/>
  <c r="E92" i="2"/>
  <c r="E93" i="2"/>
  <c r="E94" i="2"/>
  <c r="E95" i="2"/>
  <c r="E96" i="2"/>
  <c r="E97" i="2"/>
  <c r="E98" i="2"/>
  <c r="E99" i="2"/>
  <c r="E100" i="2"/>
  <c r="E101" i="2"/>
  <c r="E102" i="2"/>
  <c r="E103" i="2"/>
  <c r="E104" i="2"/>
  <c r="E105" i="2"/>
  <c r="E106" i="2"/>
  <c r="E107" i="2"/>
  <c r="E108" i="2"/>
  <c r="E109" i="2"/>
  <c r="E110" i="2"/>
  <c r="E111" i="2"/>
  <c r="E112" i="2"/>
  <c r="E113" i="2"/>
  <c r="E114" i="2"/>
  <c r="E115" i="2"/>
  <c r="E116" i="2"/>
  <c r="E117" i="2"/>
  <c r="E118" i="2"/>
  <c r="E119" i="2"/>
  <c r="E120" i="2"/>
  <c r="E121" i="2"/>
  <c r="E122" i="2"/>
  <c r="E123" i="2"/>
  <c r="E124" i="2"/>
  <c r="E125" i="2"/>
  <c r="E126" i="2"/>
  <c r="E127" i="2"/>
  <c r="E128" i="2"/>
  <c r="E129" i="2"/>
  <c r="E130" i="2"/>
  <c r="E131" i="2"/>
  <c r="E132" i="2"/>
  <c r="E133" i="2"/>
  <c r="E134" i="2"/>
  <c r="E135" i="2"/>
  <c r="E136" i="2"/>
  <c r="E137" i="2"/>
  <c r="E138" i="2"/>
  <c r="E139" i="2"/>
  <c r="E140" i="2"/>
  <c r="E141" i="2"/>
  <c r="E142" i="2"/>
  <c r="E143" i="2"/>
  <c r="E144" i="2"/>
  <c r="E145" i="2"/>
  <c r="E146" i="2"/>
  <c r="E147" i="2"/>
  <c r="E148" i="2"/>
  <c r="E149" i="2"/>
  <c r="E150" i="2"/>
  <c r="E151" i="2"/>
  <c r="E152" i="2"/>
  <c r="E153" i="2"/>
  <c r="E154" i="2"/>
  <c r="E155" i="2"/>
  <c r="E156" i="2"/>
  <c r="E157" i="2"/>
  <c r="E158" i="2"/>
  <c r="E159" i="2"/>
  <c r="E160" i="2"/>
  <c r="E161" i="2"/>
  <c r="E162" i="2"/>
  <c r="E163" i="2"/>
  <c r="E164" i="2"/>
  <c r="E165" i="2"/>
  <c r="E166" i="2"/>
  <c r="E167" i="2"/>
  <c r="E168" i="2"/>
  <c r="E169" i="2"/>
  <c r="E170" i="2"/>
  <c r="E171" i="2"/>
  <c r="E172" i="2"/>
  <c r="E173" i="2"/>
  <c r="E174" i="2"/>
  <c r="E175" i="2"/>
  <c r="E176" i="2"/>
  <c r="E177" i="2"/>
  <c r="E178" i="2"/>
  <c r="E179" i="2"/>
  <c r="E180" i="2"/>
  <c r="E181" i="2"/>
  <c r="E182" i="2"/>
  <c r="E183" i="2"/>
  <c r="E184" i="2"/>
  <c r="E185" i="2"/>
  <c r="E186" i="2"/>
  <c r="E187" i="2"/>
  <c r="E188" i="2"/>
  <c r="E189" i="2"/>
  <c r="E190" i="2"/>
  <c r="E191" i="2"/>
  <c r="E192" i="2"/>
  <c r="E193" i="2"/>
  <c r="E194" i="2"/>
  <c r="E195" i="2"/>
  <c r="E196" i="2"/>
  <c r="E197" i="2"/>
  <c r="E198" i="2"/>
  <c r="E199" i="2"/>
  <c r="E200" i="2"/>
  <c r="E201" i="2"/>
  <c r="E202" i="2"/>
  <c r="E203" i="2"/>
  <c r="E204" i="2"/>
  <c r="E205" i="2"/>
  <c r="E206" i="2"/>
  <c r="E207" i="2"/>
  <c r="E208" i="2"/>
  <c r="E209" i="2"/>
  <c r="E210" i="2"/>
  <c r="E211" i="2"/>
  <c r="E212" i="2"/>
  <c r="E213" i="2"/>
  <c r="E214" i="2"/>
  <c r="E215" i="2"/>
  <c r="E216" i="2"/>
  <c r="E217" i="2"/>
  <c r="E218" i="2"/>
  <c r="E219" i="2"/>
  <c r="E220" i="2"/>
  <c r="E221" i="2"/>
  <c r="E222" i="2"/>
  <c r="E223" i="2"/>
  <c r="E224" i="2"/>
  <c r="E225" i="2"/>
  <c r="E226" i="2"/>
  <c r="E227" i="2"/>
  <c r="E228" i="2"/>
  <c r="E229" i="2"/>
  <c r="E230" i="2"/>
  <c r="E231" i="2"/>
  <c r="E232" i="2"/>
  <c r="E3" i="2"/>
  <c r="B5" i="4"/>
  <c r="C4" i="4"/>
  <c r="C3" i="4"/>
  <c r="D15" i="3"/>
  <c r="B15" i="3"/>
  <c r="C11" i="3" s="1"/>
  <c r="C14" i="3"/>
  <c r="C13" i="3"/>
  <c r="E12" i="3"/>
  <c r="C12" i="3"/>
  <c r="E10" i="3"/>
  <c r="E9" i="3"/>
  <c r="E8" i="3"/>
  <c r="E7" i="3"/>
  <c r="E6" i="3"/>
  <c r="E5" i="3"/>
  <c r="E4" i="3"/>
  <c r="E3" i="3"/>
  <c r="C5" i="4" l="1"/>
  <c r="C6" i="3"/>
  <c r="E15" i="3"/>
  <c r="C7" i="3"/>
  <c r="C8" i="3"/>
  <c r="C3" i="3"/>
  <c r="C9" i="3"/>
  <c r="C4" i="3"/>
  <c r="C10" i="3"/>
  <c r="C5" i="3"/>
  <c r="C15" i="3" l="1"/>
</calcChain>
</file>

<file path=xl/sharedStrings.xml><?xml version="1.0" encoding="utf-8"?>
<sst xmlns="http://schemas.openxmlformats.org/spreadsheetml/2006/main" count="1205" uniqueCount="315">
  <si>
    <t>Nome</t>
  </si>
  <si>
    <t>Partido</t>
  </si>
  <si>
    <t>Aida Maria Oliveira Carvalho</t>
  </si>
  <si>
    <t>PS</t>
  </si>
  <si>
    <t>Filipa Maria Gonçalves Pinto</t>
  </si>
  <si>
    <t>L</t>
  </si>
  <si>
    <t>Joana Fernanda Ferreira de Lima</t>
  </si>
  <si>
    <t>Júlia Maria de Almeida Lima e Sequeira Rodrigues</t>
  </si>
  <si>
    <t>PSD</t>
  </si>
  <si>
    <t>Género</t>
  </si>
  <si>
    <t>Distrito</t>
  </si>
  <si>
    <t>Adriana Helena da Silva Rodrigues</t>
  </si>
  <si>
    <t>Feminino</t>
  </si>
  <si>
    <t>Aveiro</t>
  </si>
  <si>
    <t>AD (PSD/CDS-PP)</t>
  </si>
  <si>
    <t>Guarda</t>
  </si>
  <si>
    <t>Alberto Jorge Torres da Silva Fonseca</t>
  </si>
  <si>
    <t>Masculino</t>
  </si>
  <si>
    <t>Porto</t>
  </si>
  <si>
    <t>Alberto Amaro Guedes Machado</t>
  </si>
  <si>
    <t>Alexandre Damasceno da Silva Poço</t>
  </si>
  <si>
    <t>Lisboa</t>
  </si>
  <si>
    <t>Alfredo da Rocha Maia</t>
  </si>
  <si>
    <t>CDU</t>
  </si>
  <si>
    <t>Amílcar Rodrigues Alves Castro de Almeida</t>
  </si>
  <si>
    <t>Almiro Miguel dos Santos Rodrigues Moreira</t>
  </si>
  <si>
    <t>Vila Real</t>
  </si>
  <si>
    <t>Ana bernardo</t>
  </si>
  <si>
    <t>Ana Gabriela Cabilhas</t>
  </si>
  <si>
    <t>Ana Isabel Pereira Ferreira</t>
  </si>
  <si>
    <t>Ana Martins</t>
  </si>
  <si>
    <t>Açores</t>
  </si>
  <si>
    <t>CH</t>
  </si>
  <si>
    <t>Ana Elisabete Laborda Oliveira</t>
  </si>
  <si>
    <t>Coimbra</t>
  </si>
  <si>
    <t>Ana Maria da Silva Silveira</t>
  </si>
  <si>
    <t>André Alexandre Pinotes Batista</t>
  </si>
  <si>
    <t>Setúbal</t>
  </si>
  <si>
    <t>André Filipe dos Santos Matos Rijo</t>
  </si>
  <si>
    <t>André Claro Amaral Ventura</t>
  </si>
  <si>
    <t>Andreia Carina Machado da Silva Neto</t>
  </si>
  <si>
    <t>Angélique Inês Da Teresa</t>
  </si>
  <si>
    <t>IL</t>
  </si>
  <si>
    <t>António Joaquim Abambres Carneiro</t>
  </si>
  <si>
    <t>Beja</t>
  </si>
  <si>
    <t>António Manuel Veiga dos Santos Mendonça Mendes</t>
  </si>
  <si>
    <t>António Costa Rodrigues</t>
  </si>
  <si>
    <t>Armando Carlos da Silva Grave</t>
  </si>
  <si>
    <t>Armando Silva Mourisco</t>
  </si>
  <si>
    <t>Viseu</t>
  </si>
  <si>
    <t>Bárbara Maria do Amaral Correia</t>
  </si>
  <si>
    <t>Faro</t>
  </si>
  <si>
    <t>Bernardo Cappelle Homem Caldeira Pessanha</t>
  </si>
  <si>
    <t>Bruno Alexandre Pereira Ferreira Faria</t>
  </si>
  <si>
    <t>Bruno Miguel de Oliveira Nunes</t>
  </si>
  <si>
    <t>Bruno Miguel Pedrosa Ventura</t>
  </si>
  <si>
    <t>Bruno Jorge Viegas Vitorino</t>
  </si>
  <si>
    <t>Carla Maria Gomes Barros</t>
  </si>
  <si>
    <t>Carlos Alberto Silva Gonçalves</t>
  </si>
  <si>
    <t>Europa</t>
  </si>
  <si>
    <t>Carlos Alberto Barbosa Vieira Pinto</t>
  </si>
  <si>
    <t>Braga</t>
  </si>
  <si>
    <t>Carlos Manuel de Brito Cação</t>
  </si>
  <si>
    <t>Carlos Manuel Guimarães Oliveira Pinto</t>
  </si>
  <si>
    <t>Carlos João Pereira</t>
  </si>
  <si>
    <t>Carlos Silva Santiago</t>
  </si>
  <si>
    <t>Carolina Marques</t>
  </si>
  <si>
    <t>Catarina de Moura Louro</t>
  </si>
  <si>
    <t>Leiria</t>
  </si>
  <si>
    <t>Catarina Rita Ferreira Girão Salgueiro da Costa</t>
  </si>
  <si>
    <t>Santarém</t>
  </si>
  <si>
    <t>Célia Cristina Martins dos Santos Freire</t>
  </si>
  <si>
    <t>Cláudia Sofia Sebastião Estevão</t>
  </si>
  <si>
    <t>Cristina Pacheco Rodrigues</t>
  </si>
  <si>
    <t>Cristina Maria Vieira Henriques</t>
  </si>
  <si>
    <t>Cristóvão Duarte Nunes Guerreiro Norte</t>
  </si>
  <si>
    <t>Dália Eira</t>
  </si>
  <si>
    <t>Daniel Teixeira</t>
  </si>
  <si>
    <t>Davide Amado</t>
  </si>
  <si>
    <t>Diogo Amorim</t>
  </si>
  <si>
    <t>Dulcineia Moura</t>
  </si>
  <si>
    <t>Eduardo Alexandre Ribeiro Gonçalves Teixeira</t>
  </si>
  <si>
    <t>Eliseu da Costa Neves</t>
  </si>
  <si>
    <t>Elza Maria Henriques Deus Pais</t>
  </si>
  <si>
    <t>Viana do Castelo</t>
  </si>
  <si>
    <t>João Emanuel Silva Câmara</t>
  </si>
  <si>
    <t>Emídio Guerreiro</t>
  </si>
  <si>
    <t xml:space="preserve">Viseu </t>
  </si>
  <si>
    <t>Eurico Jorge Nogueira Leite Brilhante Dias</t>
  </si>
  <si>
    <t xml:space="preserve">Madeira </t>
  </si>
  <si>
    <t>Eurídice Maria de Sousa Pereira</t>
  </si>
  <si>
    <t>Eva Luna Brás Pinho</t>
  </si>
  <si>
    <t>Eduardo Nuno Rodrigues e Pinheiro</t>
  </si>
  <si>
    <t>Edite de Fátima Santos Marreiros Estrela</t>
  </si>
  <si>
    <t>Eva Marise Cruzeiro Alexandre</t>
  </si>
  <si>
    <t>Fabian Filipe Figueiredo</t>
  </si>
  <si>
    <t>BE</t>
  </si>
  <si>
    <t>Felicidade Maria da Silva Santos Vital de Alcântara</t>
  </si>
  <si>
    <t>Fernando Eirão Queiroga</t>
  </si>
  <si>
    <t>Filipe Dias Melo Peixoto</t>
  </si>
  <si>
    <t>Filipe de Andrade Neto Brandão</t>
  </si>
  <si>
    <t>Filipe Martiniano Martins de Sousa</t>
  </si>
  <si>
    <t>JPP</t>
  </si>
  <si>
    <t>Firmino Marques Ferreira</t>
  </si>
  <si>
    <t>Francisco Miguel Vital Gomes do Vale Césa</t>
  </si>
  <si>
    <t>Francisco Sérgio Covelinhas Lopes</t>
  </si>
  <si>
    <t>Francisco Maria Gonçalves Lopes Figueira</t>
  </si>
  <si>
    <t>Evóra</t>
  </si>
  <si>
    <t>Francisco Manuel de Freitas Gomes</t>
  </si>
  <si>
    <t>Francisco José Fernandes Martins</t>
  </si>
  <si>
    <t>Francisco José Duarte Pimentel</t>
  </si>
  <si>
    <t>Francisco José de Sousa Vieira</t>
  </si>
  <si>
    <t>Frederico André Branco dos Reis Francisco</t>
  </si>
  <si>
    <t>Germana de Sousa Rocha</t>
  </si>
  <si>
    <t>Gonçalo Dinis Quaresma Sousa Capitão</t>
  </si>
  <si>
    <t>Gonçalo Oliveira Lage</t>
  </si>
  <si>
    <t>Gonçalo Nuno Raio Valente e Henrique</t>
  </si>
  <si>
    <t xml:space="preserve">Beja </t>
  </si>
  <si>
    <t>Helga Alexandra Freire Correia
Helga Alexandra Freire Correia</t>
  </si>
  <si>
    <t>Hernâni Dinis Venâncio Dias</t>
  </si>
  <si>
    <t>Bragança</t>
  </si>
  <si>
    <t>Hernâni Vítor Ferreira Loureiro</t>
  </si>
  <si>
    <t>Hugo Miguel de Sousa Carneiro</t>
  </si>
  <si>
    <t>Hugo Miguel Carvalheiro dos Santos Costa</t>
  </si>
  <si>
    <t>Hugo Daniel Matos de Oliveira</t>
  </si>
  <si>
    <t>Hugo Patrício Martinho de Oliveira</t>
  </si>
  <si>
    <t>Hugo Alexandre Lopes Soares</t>
  </si>
  <si>
    <t xml:space="preserve">Braga </t>
  </si>
  <si>
    <t>Humberto Fernando Leão Pacheco de Brito</t>
  </si>
  <si>
    <t>Idalina Maria Moreira Durães</t>
  </si>
  <si>
    <t>Inês Leiria Barroso</t>
  </si>
  <si>
    <t>Inês Alves de Sousa Real</t>
  </si>
  <si>
    <t>PAN</t>
  </si>
  <si>
    <t>Irene Manuela Ferreira da Costa</t>
  </si>
  <si>
    <t>Isabel de Lima Mayer Alves Moreira</t>
  </si>
  <si>
    <t>Isabel Cristina Bento Fernandes</t>
  </si>
  <si>
    <t>Isabel Rendeiro Marques Mendes Lopes</t>
  </si>
  <si>
    <t>Isaura Maria Elias Crisóstomo Bernardino Morais</t>
  </si>
  <si>
    <t>Joana Rita Madaleno Cordeiro</t>
  </si>
  <si>
    <t>António Pedro Roque da Visitação Oliveira</t>
  </si>
  <si>
    <t>António Ricardo Correia Moreira</t>
  </si>
  <si>
    <t>Carlos Nuno Gomes e Simões de Melo</t>
  </si>
  <si>
    <t>Portalegre</t>
  </si>
  <si>
    <t>Eduardo Jorge Costa Pinto</t>
  </si>
  <si>
    <t>Isabel Sofia Alves Andrade</t>
  </si>
  <si>
    <t>Joana Inês de Jesus Seabra Malta</t>
  </si>
  <si>
    <t xml:space="preserve">Porto </t>
  </si>
  <si>
    <t>CDS-PP</t>
  </si>
  <si>
    <t>João Ferreira Lopes Aleixo</t>
  </si>
  <si>
    <t>Castelo Branco</t>
  </si>
  <si>
    <t>João Filipe Dias Ribeiro</t>
  </si>
  <si>
    <t>João José Rodrigues Tilly</t>
  </si>
  <si>
    <t>João Paulo Antunes dos Santos</t>
  </si>
  <si>
    <t>João Paulo da Silva Graça</t>
  </si>
  <si>
    <t>Evora</t>
  </si>
  <si>
    <t>João Pedro Vila Viçosa Louro</t>
  </si>
  <si>
    <t>João Rodrigo Pinho de Almeida</t>
  </si>
  <si>
    <t>João Veloso da Silva Torres</t>
  </si>
  <si>
    <t>Jorge Manuel de Valsassina Galveias Rodrigues</t>
  </si>
  <si>
    <t>Jorge Miguel Esteves Teixeira</t>
  </si>
  <si>
    <t>José António Ribeiro de Carvalho</t>
  </si>
  <si>
    <t>Fora da Europa</t>
  </si>
  <si>
    <t>José Carlos do Lago Gonçalves</t>
  </si>
  <si>
    <t>José Carlos Ribeiro Barbosa</t>
  </si>
  <si>
    <t>José de Almeida Cesário</t>
  </si>
  <si>
    <t>José Dias Fernandes</t>
  </si>
  <si>
    <t>José Frederico Abecassis Dotti</t>
  </si>
  <si>
    <t>José Luís Pereira Carneiro</t>
  </si>
  <si>
    <t>José Manuel Pombinho Barreira Soares</t>
  </si>
  <si>
    <t>José Miguel Ribeiro de Castro Guimarães</t>
  </si>
  <si>
    <t>José Pedro Correia de Aguiar Branco</t>
  </si>
  <si>
    <t>Leandro Ferreira Luís</t>
  </si>
  <si>
    <t>Leonor Cristina Adriano Lopes Cipriano</t>
  </si>
  <si>
    <t>Lia Andreia Cristóvão Ferreira</t>
  </si>
  <si>
    <t>Liliana Batista de Sousa</t>
  </si>
  <si>
    <t>Liliana Fidalgo Dias</t>
  </si>
  <si>
    <t>Lina Raquel Maia Pinheiro</t>
  </si>
  <si>
    <t>Luís Carlos Piteira Dias</t>
  </si>
  <si>
    <t>Luís David Trindade de Moreira Testa</t>
  </si>
  <si>
    <t>Luís Miguel da Graça Nunes</t>
  </si>
  <si>
    <t>Luís Paulo Pereira Fernandes</t>
  </si>
  <si>
    <t>Madalena Simões Cordeiro</t>
  </si>
  <si>
    <t>Manuel Joaquim da Silva Pinto Barbosa</t>
  </si>
  <si>
    <t>Manuel Magno Alves</t>
  </si>
  <si>
    <t>Marco Henriques Claudino</t>
  </si>
  <si>
    <t>Marcos da Cunha e Lorena Perestrello de Vasconcellos</t>
  </si>
  <si>
    <t>Marcus Vinícius Teixeira Soares dos Santos</t>
  </si>
  <si>
    <t>Margarida Alexandre do Nascimento Afonso</t>
  </si>
  <si>
    <t>Margarida Maria de Moura Alves da Silva de Almeida Saavedra</t>
  </si>
  <si>
    <t>Maria José Gomes de Aguiar</t>
  </si>
  <si>
    <t>Maria Manuela do Vale Dias de Carvalho Lopes</t>
  </si>
  <si>
    <t>Maria Manuela Pereira Tender</t>
  </si>
  <si>
    <t>Maria Nuna Monteiro Vila Lobos Menezes</t>
  </si>
  <si>
    <t>Maria Paula da Graça Cardoso</t>
  </si>
  <si>
    <t>Maria Teresa da Silva Morais</t>
  </si>
  <si>
    <t>Mariana de Lemos Quintão Correia Leitão</t>
  </si>
  <si>
    <t>Mariana Guimarães Vieira da Silva</t>
  </si>
  <si>
    <t>Marina Sola Gonçalves</t>
  </si>
  <si>
    <t>Mario Filipe Amorim Faria de Oliveira Lopes</t>
  </si>
  <si>
    <t>Marta Sofia Martins da Silva</t>
  </si>
  <si>
    <t>Martim Arnaut Syder</t>
  </si>
  <si>
    <t>Maurício Teixeira Marques</t>
  </si>
  <si>
    <t>Miguel de Oliveira Pires da Costa de Matos</t>
  </si>
  <si>
    <t xml:space="preserve">Bragança </t>
  </si>
  <si>
    <t>Miguel Filipe Pardal Cabrita</t>
  </si>
  <si>
    <t xml:space="preserve">Guarda </t>
  </si>
  <si>
    <t>Miguel Machado da Silva Rangel da Fonseca</t>
  </si>
  <si>
    <t>Nuno Jorge Cardona Fazenda de Almeida</t>
  </si>
  <si>
    <t>Nuno Jorge Rodrigues Gonçalves</t>
  </si>
  <si>
    <t>Nuno Miguel da Costa Gabriel</t>
  </si>
  <si>
    <t>Olga Cristina Rodrigues da Veiga Freire</t>
  </si>
  <si>
    <t>Patrícia Alexandra Martins de Carvalho</t>
  </si>
  <si>
    <t>Patrícia Carla Serrano Gonçalves</t>
  </si>
  <si>
    <t>Patrícia Isabel Ferreirinha do Nascimento</t>
  </si>
  <si>
    <t>PCP</t>
  </si>
  <si>
    <t>Patrícia Isabel Morgado de Almeida</t>
  </si>
  <si>
    <t>Patrícia Monte Pinto Ribeiro Faro</t>
  </si>
  <si>
    <t>Paula Alexandra Sobral Guerreiro Santos Barbosa</t>
  </si>
  <si>
    <t>Paulo Alexandre Cantigas Raimundo</t>
  </si>
  <si>
    <t>Paulo Alexandre Luís Botelho Moniz</t>
  </si>
  <si>
    <t xml:space="preserve">Açores </t>
  </si>
  <si>
    <t>Paulo Alexandre Sousa Neves</t>
  </si>
  <si>
    <t>Paulo César Lima Cavaleiro</t>
  </si>
  <si>
    <t>Paulo de Faria Lince Núncio</t>
  </si>
  <si>
    <t>Paulo Edson Carvalho Borges da Cunha</t>
  </si>
  <si>
    <t>Paulo Jorge Rodrigues Nogueira Sêco</t>
  </si>
  <si>
    <t>Paulo Jorge Velez Muacho</t>
  </si>
  <si>
    <t>Paulo José Martins Raposo Lopes Marcelo</t>
  </si>
  <si>
    <t>Paulo Miguel da Silva Santos</t>
  </si>
  <si>
    <t>Paulo Rui Lopes Pereira da Silva</t>
  </si>
  <si>
    <t>Pedro Alexandre Arrabaça da Silva Oliveira Correia</t>
  </si>
  <si>
    <t>Pedro Artur Barreirinhas Sales Guedes Coimbra</t>
  </si>
  <si>
    <t>Pedro Emanuel Abreu Coelho</t>
  </si>
  <si>
    <t>Pedro Filipe dos Santos Alves</t>
  </si>
  <si>
    <t>Pedro Filipe Mota Delgado Simões Alves</t>
  </si>
  <si>
    <t xml:space="preserve">Faro </t>
  </si>
  <si>
    <t>Pedro Manuel Amaro Martins Vaz</t>
  </si>
  <si>
    <t>Pedro Manuel de Andrade Pessanha Fernandes</t>
  </si>
  <si>
    <t>Pedro Miguel Soares Pinto</t>
  </si>
  <si>
    <t>Pedro Miguel Tavares dos Santos</t>
  </si>
  <si>
    <t>Pedro Nuno Raposo Prazeres do Carmo</t>
  </si>
  <si>
    <t>Pedro Ricardo Soares Pimenta</t>
  </si>
  <si>
    <t>Pedro Saraiva Gonçalves dos Santos Frazão</t>
  </si>
  <si>
    <t>Porfírio Simões de Carvalho e Silva</t>
  </si>
  <si>
    <t>Raul Gabriel Palha de Bessa Melo</t>
  </si>
  <si>
    <t>Regina Maria Pinto da Fonseca Ramos Bastos</t>
  </si>
  <si>
    <t>Ricardo Alexandre Frade de Oliveira</t>
  </si>
  <si>
    <t>Ricardo António Beato de Carvalho</t>
  </si>
  <si>
    <t>Ricardo Barroso da Silva</t>
  </si>
  <si>
    <t>Ricardo Dias Pinto Blaufuks</t>
  </si>
  <si>
    <t>Ricardo Jorge Martins Aires</t>
  </si>
  <si>
    <t>Ricardo Jorge Martins Carlos</t>
  </si>
  <si>
    <t>Ricardo Jorge Monteiro Lima</t>
  </si>
  <si>
    <t>Ricardo Lopes Reis</t>
  </si>
  <si>
    <t>Rita Maria Cid Matias Filipe</t>
  </si>
  <si>
    <t>Rodrigo Miguel Dias Saraiva</t>
  </si>
  <si>
    <t>Rodrigo Santos Alves Taxa</t>
  </si>
  <si>
    <t>Rosa Isabel da Cruz</t>
  </si>
  <si>
    <t>Rui Alexandre Nunes Fernandes</t>
  </si>
  <si>
    <t>Rui Jorge Cordeiro Gonçalves dos Santos</t>
  </si>
  <si>
    <t>Rui Manuel Alves da Rocha Pereira</t>
  </si>
  <si>
    <t>Rui Miguel Candeias Cardoso</t>
  </si>
  <si>
    <t>Rui Miguel Marcelino Tavares Pereira</t>
  </si>
  <si>
    <t xml:space="preserve"> Porto</t>
  </si>
  <si>
    <t>Rui Nuno de Oliveira Garcia da Rocha</t>
  </si>
  <si>
    <t>Rui Paulo Duque Sousa</t>
  </si>
  <si>
    <t>Rui Pedro da Silva Afonso</t>
  </si>
  <si>
    <t>Sandra Cristina de Sequeiros Pereira</t>
  </si>
  <si>
    <t>Sandra Margarida de Melo Pereira Ribeiro</t>
  </si>
  <si>
    <t>Sandra Maria Sousa Lopes</t>
  </si>
  <si>
    <t>Sofia Alexandra Correia Pereira</t>
  </si>
  <si>
    <t>Sofia Manuela Cadeias Machado Fernandes</t>
  </si>
  <si>
    <t>Sónia Cristina de Sousa Monteiro</t>
  </si>
  <si>
    <t>Sónia dos Reis</t>
  </si>
  <si>
    <t>Sónia Margarida da Silva Fernandes</t>
  </si>
  <si>
    <t>Susana Alexandra Lopes Correia</t>
  </si>
  <si>
    <t>Tiago Barbosa Ribeiro</t>
  </si>
  <si>
    <t>Vanessa Cláudia Nogueira da Rosa Pereira Barata</t>
  </si>
  <si>
    <t>Vânia Andrea de Castro Jesus</t>
  </si>
  <si>
    <t>Vítor Manuel Martins Guerreiro</t>
  </si>
  <si>
    <t>Questão 1 — Partidos/Coligações Representados e Proporção</t>
  </si>
  <si>
    <t>Partido / Coligação</t>
  </si>
  <si>
    <t>Nº Deputados</t>
  </si>
  <si>
    <t>Proporção (%)</t>
  </si>
  <si>
    <t>Nº Mulheres</t>
  </si>
  <si>
    <t>% Mulheres no partido</t>
  </si>
  <si>
    <t>TOTAL</t>
  </si>
  <si>
    <t>Fonte: Lista oficial dos 230 Deputados — XVII Legislatura (2025), com correções de género aplicadas.</t>
  </si>
  <si>
    <t>Nº de Deputados/as</t>
  </si>
  <si>
    <t>Homens</t>
  </si>
  <si>
    <t>Mulheres</t>
  </si>
  <si>
    <t>Dados corrigidos: 88 deputadas (38.3%) após correção de 4 erros de classificação de género no ficheiro original.
Meta ODS 5: 50%  |  Meta Lei da Paridade: 40%</t>
  </si>
  <si>
    <t>Questão 3 — Análise da Evolução do Indicador (ODS 5)</t>
  </si>
  <si>
    <t>Frase completa (Tarefa 1): "Disparidades na participação cívica e política: REDUÇÃO de deputadas na legislatura parlamentar (2022–2025): de 85 mulheres em 230 deputados (2019–2022), para 88 mulheres."</t>
  </si>
  <si>
    <t>Eleições</t>
  </si>
  <si>
    <t>% Mulheres</t>
  </si>
  <si>
    <t>% Homens</t>
  </si>
  <si>
    <t>2015</t>
  </si>
  <si>
    <t>2019</t>
  </si>
  <si>
    <t>2022</t>
  </si>
  <si>
    <t>2024</t>
  </si>
  <si>
    <t>ANÁLISE — Conclusões</t>
  </si>
  <si>
    <t>✗  Meta ODS 5 (50%) NÃO atingida: desvio de -11.7 pp. Meta da Lei da Paridade (40%) também NÃO atingida: desvio de -1.7 pp.</t>
  </si>
  <si>
    <t>✓  88 deputadas eleitas em 230 — valor corrigido após deteção de 4 erros de classificação no ficheiro original.</t>
  </si>
  <si>
    <t>✓  Portugal está acima da média europeia (~33%) e mundial (~26%) de representação feminina em parlamentos.</t>
  </si>
  <si>
    <t>Fonte: Lista oficial 230 Deputados — XVII Legislatura (2025) corrigida | Público (19 mai. 2025) | CIG (mai. 2025).</t>
  </si>
  <si>
    <t xml:space="preserve">Questão 2 — Número de Deputados e Deputadas </t>
  </si>
  <si>
    <t xml:space="preserve"> Igualdade de Género | Evolução Histórica da Representação Feminina</t>
  </si>
  <si>
    <t>Meta Lei da Paridade: 40%  |  Meta ODS 5: 50%  |  Valor 2025 : 38.3%  →  Desvio face aos 40%: -1.7 pp</t>
  </si>
  <si>
    <t>⚠  Tendência de recuo desde 2019: 38,7% (2019) → 37,0% (2022) → 33,6% (2024) → 38.3% . O indicador está abaixo do máximo histórico.</t>
  </si>
  <si>
    <t xml:space="preserve">Lista Completa dos 230 Deputados — XVII Legislatura (2025) </t>
  </si>
  <si>
    <t>Idade (2026)</t>
  </si>
  <si>
    <t>Ano de Nascimento</t>
  </si>
  <si>
    <t>Circulo eleitoral</t>
  </si>
  <si>
    <t>zz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</si>
</sst>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32" x14ac:knownFonts="1">
    <font>
      <sz val="11"/>
      <color theme="1"/>
      <name val="Calibri"/>
      <family val="2"/>
      <charset val="1"/>
    </font>
    <font>
      <sz val="10"/>
      <name val="Times New Roman"/>
      <family val="1"/>
    </font>
    <font>
      <sz val="11"/>
      <color theme="1"/>
      <name val="Times New Roman"/>
      <family val="1"/>
    </font>
    <font>
      <sz val="11"/>
      <color rgb="FF000000"/>
      <name val="Times New Roman"/>
      <family val="1"/>
    </font>
    <font>
      <sz val="12"/>
      <color rgb="FF0A0A0A"/>
      <name val="Times New Roman"/>
      <family val="1"/>
    </font>
    <font>
      <b/>
      <sz val="13"/>
      <color rgb="FFFFFFFF"/>
      <name val="Times New Roman"/>
      <family val="1"/>
    </font>
    <font>
      <b/>
      <sz val="10"/>
      <color theme="7" tint="0.59999389629810485"/>
      <name val="Times New Roman"/>
      <family val="1"/>
    </font>
    <font>
      <b/>
      <sz val="11"/>
      <color theme="7" tint="0.59999389629810485"/>
      <name val="Times New Roman"/>
      <family val="1"/>
    </font>
    <font>
      <sz val="9"/>
      <color rgb="FF000000"/>
      <name val="Times New Roman"/>
      <family val="1"/>
    </font>
    <font>
      <sz val="9"/>
      <color rgb="FF155724"/>
      <name val="Times New Roman"/>
      <family val="1"/>
    </font>
    <font>
      <sz val="9"/>
      <color rgb="FF1A3A5C"/>
      <name val="Times New Roman"/>
      <family val="1"/>
    </font>
    <font>
      <b/>
      <sz val="11"/>
      <color rgb="FFFFFFFF"/>
      <name val="Times New Roman"/>
      <family val="1"/>
    </font>
    <font>
      <b/>
      <sz val="10"/>
      <color rgb="FFFFFFFF"/>
      <name val="Times New Roman"/>
      <family val="1"/>
    </font>
    <font>
      <sz val="10"/>
      <color rgb="FF000000"/>
      <name val="Times New Roman"/>
      <family val="1"/>
    </font>
    <font>
      <i/>
      <sz val="9"/>
      <color rgb="FF1A3A5C"/>
      <name val="Times New Roman"/>
      <family val="1"/>
    </font>
    <font>
      <b/>
      <sz val="12"/>
      <color rgb="FFFFFFFF"/>
      <name val="Times New Roman"/>
      <family val="1"/>
    </font>
    <font>
      <sz val="12"/>
      <color theme="1"/>
      <name val="Times New Roman"/>
      <family val="1"/>
    </font>
    <font>
      <sz val="12"/>
      <color rgb="FF000000"/>
      <name val="Times New Roman"/>
      <family val="1"/>
    </font>
    <font>
      <sz val="12"/>
      <color rgb="FFC0504D"/>
      <name val="Times New Roman"/>
      <family val="1"/>
    </font>
    <font>
      <sz val="12"/>
      <color rgb="FF888888"/>
      <name val="Times New Roman"/>
      <family val="1"/>
    </font>
    <font>
      <i/>
      <sz val="12"/>
      <color rgb="FF1A3A5C"/>
      <name val="Times New Roman"/>
      <family val="1"/>
    </font>
    <font>
      <b/>
      <sz val="12"/>
      <color rgb="FF4472C4"/>
      <name val="Times New Roman"/>
      <family val="1"/>
    </font>
    <font>
      <b/>
      <sz val="12"/>
      <color rgb="FF000000"/>
      <name val="Times New Roman"/>
      <family val="1"/>
    </font>
    <font>
      <b/>
      <sz val="12"/>
      <color rgb="FFFFCCFF"/>
      <name val="Times New Roman"/>
      <family val="1"/>
    </font>
    <font>
      <b/>
      <sz val="12"/>
      <color theme="8" tint="-0.249977111117893"/>
      <name val="Times New Roman"/>
      <family val="1"/>
    </font>
    <font>
      <sz val="12"/>
      <color theme="1"/>
      <name val="Calibri"/>
      <family val="2"/>
      <charset val="1"/>
    </font>
    <font>
      <b/>
      <sz val="12"/>
      <name val="Times New Roman"/>
      <family val="1"/>
    </font>
    <font>
      <i/>
      <sz val="12"/>
      <name val="Times New Roman"/>
      <family val="1"/>
    </font>
    <font>
      <b/>
      <sz val="10"/>
      <color rgb="FF1A3A5C"/>
      <name val="Times New Roman"/>
      <family val="1"/>
    </font>
    <font>
      <b/>
      <sz val="10"/>
      <color rgb="FF000000"/>
      <name val="Times New Roman"/>
      <family val="1"/>
    </font>
    <font>
      <sz val="9"/>
      <color rgb="FF856404"/>
      <name val="Times New Roman"/>
      <family val="1"/>
    </font>
    <font>
      <sz val="9"/>
      <color rgb="FF7B0000"/>
      <name val="Times New Roman"/>
      <family val="1"/>
    </font>
  </fonts>
  <fills count="29">
    <fill>
      <patternFill patternType="none"/>
    </fill>
    <fill>
      <patternFill patternType="gray125"/>
    </fill>
    <fill>
      <patternFill patternType="solid">
        <fgColor rgb="FF1A3A5C"/>
        <bgColor rgb="FF333333"/>
      </patternFill>
    </fill>
    <fill>
      <patternFill patternType="solid">
        <fgColor rgb="FFFFF3CD"/>
        <bgColor rgb="FFFFFDE7"/>
      </patternFill>
    </fill>
    <fill>
      <patternFill patternType="solid">
        <fgColor rgb="FFFFE0E0"/>
        <bgColor rgb="FFFFF0F0"/>
      </patternFill>
    </fill>
    <fill>
      <patternFill patternType="solid">
        <fgColor rgb="FFD4EDDA"/>
        <bgColor rgb="FFD0E8F5"/>
      </patternFill>
    </fill>
    <fill>
      <patternFill patternType="solid">
        <fgColor rgb="FFEAF2FB"/>
        <bgColor rgb="FFF0F4F8"/>
      </patternFill>
    </fill>
    <fill>
      <patternFill patternType="solid">
        <fgColor rgb="FFF0F4F8"/>
        <bgColor rgb="FFEAF2FB"/>
      </patternFill>
    </fill>
    <fill>
      <patternFill patternType="solid">
        <fgColor rgb="FFFFFFFF"/>
        <bgColor rgb="FFF9F9F9"/>
      </patternFill>
    </fill>
    <fill>
      <patternFill patternType="solid">
        <fgColor rgb="FF2E6DA4"/>
        <bgColor rgb="FF4672A8"/>
      </patternFill>
    </fill>
    <fill>
      <patternFill patternType="solid">
        <fgColor rgb="FFF8F8F8"/>
        <bgColor rgb="FFF9F9F9"/>
      </patternFill>
    </fill>
    <fill>
      <patternFill patternType="solid">
        <fgColor rgb="FFD0E8F5"/>
        <bgColor rgb="FFD4EDDA"/>
      </patternFill>
    </fill>
    <fill>
      <patternFill patternType="solid">
        <fgColor rgb="FFFFCCFF"/>
        <bgColor indexed="64"/>
      </patternFill>
    </fill>
    <fill>
      <patternFill patternType="solid">
        <fgColor rgb="FFFFCCFF"/>
        <bgColor rgb="FF5B2D82"/>
      </patternFill>
    </fill>
    <fill>
      <patternFill patternType="solid">
        <fgColor theme="8" tint="0.59999389629810485"/>
        <bgColor rgb="FF5B2D82"/>
      </patternFill>
    </fill>
    <fill>
      <patternFill patternType="solid">
        <fgColor theme="8" tint="0.59999389629810485"/>
        <bgColor rgb="FFFFFDE7"/>
      </patternFill>
    </fill>
    <fill>
      <patternFill patternType="solid">
        <fgColor theme="8" tint="0.59999389629810485"/>
        <bgColor rgb="FF333333"/>
      </patternFill>
    </fill>
    <fill>
      <patternFill patternType="solid">
        <fgColor theme="9" tint="0.39997558519241921"/>
        <bgColor rgb="FF155724"/>
      </patternFill>
    </fill>
    <fill>
      <patternFill patternType="solid">
        <fgColor theme="9" tint="-0.249977111117893"/>
        <bgColor rgb="FF7B2D8B"/>
      </patternFill>
    </fill>
    <fill>
      <patternFill patternType="solid">
        <fgColor theme="9" tint="0.59999389629810485"/>
        <bgColor rgb="FFF9F9F9"/>
      </patternFill>
    </fill>
    <fill>
      <patternFill patternType="solid">
        <fgColor theme="9" tint="0.59999389629810485"/>
        <bgColor rgb="FFD9D9D9"/>
      </patternFill>
    </fill>
    <fill>
      <patternFill patternType="solid">
        <fgColor theme="6" tint="0.59999389629810485"/>
        <bgColor rgb="FFF0F4F8"/>
      </patternFill>
    </fill>
    <fill>
      <patternFill patternType="solid">
        <fgColor theme="6" tint="0.59999389629810485"/>
        <bgColor rgb="FFAB4744"/>
      </patternFill>
    </fill>
    <fill>
      <patternFill patternType="solid">
        <fgColor theme="9" tint="-0.249977111117893"/>
        <bgColor rgb="FF155724"/>
      </patternFill>
    </fill>
    <fill>
      <patternFill patternType="solid">
        <fgColor theme="7" tint="0.39997558519241921"/>
        <bgColor rgb="FF333333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 tint="0.39997558519241921"/>
        <bgColor rgb="FF333333"/>
      </patternFill>
    </fill>
    <fill>
      <patternFill patternType="solid">
        <fgColor theme="4" tint="0.39997558519241921"/>
        <bgColor rgb="FF003366"/>
      </patternFill>
    </fill>
    <fill>
      <patternFill patternType="solid">
        <fgColor theme="4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</borders>
  <cellStyleXfs count="1">
    <xf numFmtId="0" fontId="0" fillId="0" borderId="0"/>
  </cellStyleXfs>
  <cellXfs count="65">
    <xf numFmtId="0" fontId="0" fillId="0" borderId="0" xfId="0"/>
    <xf numFmtId="0" fontId="2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2" fillId="25" borderId="0" xfId="0" applyFont="1" applyFill="1"/>
    <xf numFmtId="0" fontId="2" fillId="0" borderId="0" xfId="0" applyFont="1"/>
    <xf numFmtId="0" fontId="6" fillId="26" borderId="1" xfId="0" applyFont="1" applyFill="1" applyBorder="1" applyAlignment="1">
      <alignment horizontal="center" vertical="center" wrapText="1"/>
    </xf>
    <xf numFmtId="0" fontId="7" fillId="27" borderId="1" xfId="0" applyFont="1" applyFill="1" applyBorder="1" applyAlignment="1">
      <alignment horizontal="center" vertical="center" wrapText="1"/>
    </xf>
    <xf numFmtId="0" fontId="6" fillId="28" borderId="0" xfId="0" applyFont="1" applyFill="1" applyAlignment="1">
      <alignment horizontal="center"/>
    </xf>
    <xf numFmtId="0" fontId="8" fillId="0" borderId="1" xfId="0" applyFont="1" applyBorder="1" applyAlignment="1">
      <alignment horizontal="left" vertical="center" wrapText="1"/>
    </xf>
    <xf numFmtId="0" fontId="9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0" fontId="15" fillId="2" borderId="1" xfId="0" applyFont="1" applyFill="1" applyBorder="1" applyAlignment="1">
      <alignment horizontal="center" vertical="center" wrapText="1"/>
    </xf>
    <xf numFmtId="0" fontId="16" fillId="0" borderId="0" xfId="0" applyFont="1"/>
    <xf numFmtId="0" fontId="17" fillId="7" borderId="1" xfId="0" applyFont="1" applyFill="1" applyBorder="1" applyAlignment="1">
      <alignment horizontal="left" vertical="center" wrapText="1"/>
    </xf>
    <xf numFmtId="0" fontId="17" fillId="7" borderId="1" xfId="0" applyFont="1" applyFill="1" applyBorder="1" applyAlignment="1">
      <alignment horizontal="center" vertical="center" wrapText="1"/>
    </xf>
    <xf numFmtId="164" fontId="17" fillId="7" borderId="1" xfId="0" applyNumberFormat="1" applyFont="1" applyFill="1" applyBorder="1" applyAlignment="1">
      <alignment horizontal="center" vertical="center" wrapText="1"/>
    </xf>
    <xf numFmtId="0" fontId="18" fillId="7" borderId="1" xfId="0" applyFont="1" applyFill="1" applyBorder="1" applyAlignment="1">
      <alignment horizontal="center" vertical="center" wrapText="1"/>
    </xf>
    <xf numFmtId="164" fontId="18" fillId="7" borderId="1" xfId="0" applyNumberFormat="1" applyFont="1" applyFill="1" applyBorder="1" applyAlignment="1">
      <alignment horizontal="center" vertical="center" wrapText="1"/>
    </xf>
    <xf numFmtId="0" fontId="17" fillId="8" borderId="1" xfId="0" applyFont="1" applyFill="1" applyBorder="1" applyAlignment="1">
      <alignment horizontal="left" vertical="center" wrapText="1"/>
    </xf>
    <xf numFmtId="0" fontId="17" fillId="8" borderId="1" xfId="0" applyFont="1" applyFill="1" applyBorder="1" applyAlignment="1">
      <alignment horizontal="center" vertical="center" wrapText="1"/>
    </xf>
    <xf numFmtId="164" fontId="17" fillId="8" borderId="1" xfId="0" applyNumberFormat="1" applyFont="1" applyFill="1" applyBorder="1" applyAlignment="1">
      <alignment horizontal="center" vertical="center" wrapText="1"/>
    </xf>
    <xf numFmtId="0" fontId="18" fillId="8" borderId="1" xfId="0" applyFont="1" applyFill="1" applyBorder="1" applyAlignment="1">
      <alignment horizontal="center" vertical="center" wrapText="1"/>
    </xf>
    <xf numFmtId="164" fontId="18" fillId="8" borderId="1" xfId="0" applyNumberFormat="1" applyFont="1" applyFill="1" applyBorder="1" applyAlignment="1">
      <alignment horizontal="center" vertical="center" wrapText="1"/>
    </xf>
    <xf numFmtId="0" fontId="19" fillId="7" borderId="1" xfId="0" applyFont="1" applyFill="1" applyBorder="1" applyAlignment="1">
      <alignment horizontal="center" vertical="center" wrapText="1"/>
    </xf>
    <xf numFmtId="164" fontId="19" fillId="7" borderId="1" xfId="0" applyNumberFormat="1" applyFont="1" applyFill="1" applyBorder="1" applyAlignment="1">
      <alignment horizontal="center" vertical="center" wrapText="1"/>
    </xf>
    <xf numFmtId="0" fontId="19" fillId="8" borderId="1" xfId="0" applyFont="1" applyFill="1" applyBorder="1" applyAlignment="1">
      <alignment horizontal="center" vertical="center" wrapText="1"/>
    </xf>
    <xf numFmtId="164" fontId="19" fillId="8" borderId="1" xfId="0" applyNumberFormat="1" applyFont="1" applyFill="1" applyBorder="1" applyAlignment="1">
      <alignment horizontal="center" vertical="center" wrapText="1"/>
    </xf>
    <xf numFmtId="0" fontId="15" fillId="2" borderId="1" xfId="0" applyFont="1" applyFill="1" applyBorder="1" applyAlignment="1">
      <alignment horizontal="center" vertical="center"/>
    </xf>
    <xf numFmtId="164" fontId="15" fillId="2" borderId="1" xfId="0" applyNumberFormat="1" applyFont="1" applyFill="1" applyBorder="1" applyAlignment="1">
      <alignment horizontal="center" vertical="center"/>
    </xf>
    <xf numFmtId="0" fontId="21" fillId="10" borderId="1" xfId="0" applyFont="1" applyFill="1" applyBorder="1" applyAlignment="1">
      <alignment horizontal="left" vertical="center"/>
    </xf>
    <xf numFmtId="0" fontId="22" fillId="10" borderId="1" xfId="0" applyFont="1" applyFill="1" applyBorder="1" applyAlignment="1">
      <alignment horizontal="center" vertical="center" wrapText="1"/>
    </xf>
    <xf numFmtId="164" fontId="22" fillId="10" borderId="1" xfId="0" applyNumberFormat="1" applyFont="1" applyFill="1" applyBorder="1" applyAlignment="1">
      <alignment horizontal="center" vertical="center" wrapText="1"/>
    </xf>
    <xf numFmtId="0" fontId="23" fillId="10" borderId="1" xfId="0" applyFont="1" applyFill="1" applyBorder="1" applyAlignment="1">
      <alignment horizontal="left" vertical="center"/>
    </xf>
    <xf numFmtId="0" fontId="25" fillId="0" borderId="0" xfId="0" applyFont="1"/>
    <xf numFmtId="0" fontId="15" fillId="14" borderId="1" xfId="0" applyFont="1" applyFill="1" applyBorder="1" applyAlignment="1">
      <alignment horizontal="center" vertical="center" wrapText="1"/>
    </xf>
    <xf numFmtId="0" fontId="26" fillId="13" borderId="1" xfId="0" applyFont="1" applyFill="1" applyBorder="1" applyAlignment="1">
      <alignment horizontal="center" vertical="center"/>
    </xf>
    <xf numFmtId="164" fontId="26" fillId="13" borderId="1" xfId="0" applyNumberFormat="1" applyFont="1" applyFill="1" applyBorder="1" applyAlignment="1">
      <alignment horizontal="center" vertical="center"/>
    </xf>
    <xf numFmtId="0" fontId="12" fillId="18" borderId="1" xfId="0" applyFont="1" applyFill="1" applyBorder="1" applyAlignment="1">
      <alignment horizontal="center" vertical="center" wrapText="1"/>
    </xf>
    <xf numFmtId="0" fontId="13" fillId="19" borderId="1" xfId="0" applyFont="1" applyFill="1" applyBorder="1" applyAlignment="1">
      <alignment horizontal="left" vertical="center" wrapText="1"/>
    </xf>
    <xf numFmtId="164" fontId="13" fillId="19" borderId="1" xfId="0" applyNumberFormat="1" applyFont="1" applyFill="1" applyBorder="1" applyAlignment="1">
      <alignment horizontal="center" vertical="center" wrapText="1"/>
    </xf>
    <xf numFmtId="0" fontId="13" fillId="19" borderId="1" xfId="0" applyFont="1" applyFill="1" applyBorder="1" applyAlignment="1">
      <alignment horizontal="center" vertical="center" wrapText="1"/>
    </xf>
    <xf numFmtId="0" fontId="13" fillId="21" borderId="1" xfId="0" applyFont="1" applyFill="1" applyBorder="1" applyAlignment="1">
      <alignment horizontal="left" vertical="center" wrapText="1"/>
    </xf>
    <xf numFmtId="164" fontId="13" fillId="21" borderId="1" xfId="0" applyNumberFormat="1" applyFont="1" applyFill="1" applyBorder="1" applyAlignment="1">
      <alignment horizontal="center" vertical="center" wrapText="1"/>
    </xf>
    <xf numFmtId="0" fontId="13" fillId="21" borderId="1" xfId="0" applyFont="1" applyFill="1" applyBorder="1" applyAlignment="1">
      <alignment horizontal="center" vertical="center" wrapText="1"/>
    </xf>
    <xf numFmtId="0" fontId="29" fillId="20" borderId="1" xfId="0" applyFont="1" applyFill="1" applyBorder="1" applyAlignment="1">
      <alignment horizontal="left" vertical="center" wrapText="1"/>
    </xf>
    <xf numFmtId="164" fontId="29" fillId="20" borderId="1" xfId="0" applyNumberFormat="1" applyFont="1" applyFill="1" applyBorder="1" applyAlignment="1">
      <alignment horizontal="center" vertical="center" wrapText="1"/>
    </xf>
    <xf numFmtId="0" fontId="29" fillId="20" borderId="1" xfId="0" applyFont="1" applyFill="1" applyBorder="1" applyAlignment="1">
      <alignment horizontal="center" vertical="center" wrapText="1"/>
    </xf>
    <xf numFmtId="0" fontId="5" fillId="24" borderId="0" xfId="0" applyFont="1" applyFill="1" applyAlignment="1">
      <alignment horizontal="center" vertical="center" wrapText="1"/>
    </xf>
    <xf numFmtId="0" fontId="15" fillId="9" borderId="0" xfId="0" applyFont="1" applyFill="1" applyAlignment="1">
      <alignment horizontal="center" vertical="center" wrapText="1"/>
    </xf>
    <xf numFmtId="0" fontId="20" fillId="6" borderId="0" xfId="0" applyFont="1" applyFill="1" applyAlignment="1">
      <alignment horizontal="left" vertical="center" wrapText="1"/>
    </xf>
    <xf numFmtId="0" fontId="24" fillId="12" borderId="0" xfId="0" applyFont="1" applyFill="1" applyAlignment="1">
      <alignment horizontal="center" vertical="center" wrapText="1"/>
    </xf>
    <xf numFmtId="0" fontId="27" fillId="15" borderId="0" xfId="0" applyFont="1" applyFill="1" applyAlignment="1">
      <alignment horizontal="left" vertical="center" wrapText="1"/>
    </xf>
    <xf numFmtId="0" fontId="30" fillId="3" borderId="0" xfId="0" applyFont="1" applyFill="1" applyAlignment="1">
      <alignment horizontal="left" vertical="center" wrapText="1"/>
    </xf>
    <xf numFmtId="0" fontId="31" fillId="4" borderId="0" xfId="0" applyFont="1" applyFill="1" applyAlignment="1">
      <alignment horizontal="left" vertical="center" wrapText="1"/>
    </xf>
    <xf numFmtId="0" fontId="9" fillId="5" borderId="0" xfId="0" applyFont="1" applyFill="1" applyAlignment="1">
      <alignment horizontal="left" vertical="center" wrapText="1"/>
    </xf>
    <xf numFmtId="0" fontId="14" fillId="6" borderId="0" xfId="0" applyFont="1" applyFill="1" applyAlignment="1">
      <alignment horizontal="left" vertical="center" wrapText="1"/>
    </xf>
    <xf numFmtId="0" fontId="5" fillId="16" borderId="0" xfId="0" applyFont="1" applyFill="1" applyAlignment="1">
      <alignment horizontal="center" vertical="center" wrapText="1"/>
    </xf>
    <xf numFmtId="0" fontId="11" fillId="17" borderId="0" xfId="0" applyFont="1" applyFill="1" applyAlignment="1">
      <alignment horizontal="center" vertical="center" wrapText="1"/>
    </xf>
    <xf numFmtId="0" fontId="28" fillId="11" borderId="0" xfId="0" applyFont="1" applyFill="1" applyAlignment="1">
      <alignment horizontal="left" vertical="center" wrapText="1"/>
    </xf>
    <xf numFmtId="0" fontId="12" fillId="22" borderId="0" xfId="0" applyFont="1" applyFill="1" applyAlignment="1">
      <alignment horizontal="center" vertical="center" wrapText="1"/>
    </xf>
    <xf numFmtId="0" fontId="11" fillId="23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E0E0"/>
      <rgbColor rgb="FFFF00FF"/>
      <rgbColor rgb="FFF8F8F8"/>
      <rgbColor rgb="FF7B0000"/>
      <rgbColor rgb="FF2E7D32"/>
      <rgbColor rgb="FF000080"/>
      <rgbColor rgb="FF856404"/>
      <rgbColor rgb="FF800080"/>
      <rgbColor rgb="FF4672A8"/>
      <rgbColor rgb="FFBBBBBB"/>
      <rgbColor rgb="FF878787"/>
      <rgbColor rgb="FF93A9CE"/>
      <rgbColor rgb="FF7B2D8B"/>
      <rgbColor rgb="FFFFFDE7"/>
      <rgbColor rgb="FFD0E8F5"/>
      <rgbColor rgb="FF660066"/>
      <rgbColor rgb="FFDC853E"/>
      <rgbColor rgb="FF2E6DA4"/>
      <rgbColor rgb="FFE8D5F5"/>
      <rgbColor rgb="FF000080"/>
      <rgbColor rgb="FFFF00FF"/>
      <rgbColor rgb="FFFFF0F0"/>
      <rgbColor rgb="FFF9F9F9"/>
      <rgbColor rgb="FF800080"/>
      <rgbColor rgb="FF800000"/>
      <rgbColor rgb="FF4F81BD"/>
      <rgbColor rgb="FF0000FF"/>
      <rgbColor rgb="FF00CCFF"/>
      <rgbColor rgb="FFEAF2FB"/>
      <rgbColor rgb="FFD4EDDA"/>
      <rgbColor rgb="FFFFF3CD"/>
      <rgbColor rgb="FF92C3D5"/>
      <rgbColor rgb="FFD09493"/>
      <rgbColor rgb="FFA99BBD"/>
      <rgbColor rgb="FFF8B590"/>
      <rgbColor rgb="FF4472C4"/>
      <rgbColor rgb="FFF0F4F8"/>
      <rgbColor rgb="FF8AA64F"/>
      <rgbColor rgb="FFB8CD97"/>
      <rgbColor rgb="FFD9D9D9"/>
      <rgbColor rgb="FFF5F0FA"/>
      <rgbColor rgb="FF725990"/>
      <rgbColor rgb="FF888888"/>
      <rgbColor rgb="FF1A3A5C"/>
      <rgbColor rgb="FF4299B0"/>
      <rgbColor rgb="FF155724"/>
      <rgbColor rgb="FF333300"/>
      <rgbColor rgb="FFC0504D"/>
      <rgbColor rgb="FFAB4744"/>
      <rgbColor rgb="FF5B2D82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FFCCFF"/>
      <color rgb="FF00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PT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pt-PT" sz="1800" b="1" strike="noStrike" spc="-1">
                <a:solidFill>
                  <a:srgbClr val="000000"/>
                </a:solidFill>
                <a:latin typeface="Calibri"/>
              </a:rPr>
              <a:t>Deputados por Partido / Coligação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'2. Partidos e Proporção'!$B$2</c:f>
              <c:strCache>
                <c:ptCount val="1"/>
                <c:pt idx="0">
                  <c:v>Nº Deputados</c:v>
                </c:pt>
              </c:strCache>
            </c:strRef>
          </c:tx>
          <c:spPr>
            <a:solidFill>
              <a:srgbClr val="2E6DA4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pt-PT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'2. Partidos e Proporção'!$A$3:$A$14</c:f>
              <c:strCache>
                <c:ptCount val="12"/>
                <c:pt idx="0">
                  <c:v>PSD</c:v>
                </c:pt>
                <c:pt idx="1">
                  <c:v>CH</c:v>
                </c:pt>
                <c:pt idx="2">
                  <c:v>PS</c:v>
                </c:pt>
                <c:pt idx="3">
                  <c:v>AD (PSD/CDS-PP)</c:v>
                </c:pt>
                <c:pt idx="4">
                  <c:v>IL</c:v>
                </c:pt>
                <c:pt idx="5">
                  <c:v>L</c:v>
                </c:pt>
                <c:pt idx="6">
                  <c:v>CDS-PP</c:v>
                </c:pt>
                <c:pt idx="7">
                  <c:v>PCP</c:v>
                </c:pt>
                <c:pt idx="8">
                  <c:v>CDU</c:v>
                </c:pt>
                <c:pt idx="9">
                  <c:v>BE</c:v>
                </c:pt>
                <c:pt idx="10">
                  <c:v>JPP</c:v>
                </c:pt>
                <c:pt idx="11">
                  <c:v>PAN</c:v>
                </c:pt>
              </c:strCache>
            </c:strRef>
          </c:cat>
          <c:val>
            <c:numRef>
              <c:f>'2. Partidos e Proporção'!$B$3:$B$14</c:f>
              <c:numCache>
                <c:formatCode>General</c:formatCode>
                <c:ptCount val="12"/>
                <c:pt idx="0">
                  <c:v>65</c:v>
                </c:pt>
                <c:pt idx="1">
                  <c:v>60</c:v>
                </c:pt>
                <c:pt idx="2">
                  <c:v>58</c:v>
                </c:pt>
                <c:pt idx="3">
                  <c:v>24</c:v>
                </c:pt>
                <c:pt idx="4">
                  <c:v>9</c:v>
                </c:pt>
                <c:pt idx="5">
                  <c:v>6</c:v>
                </c:pt>
                <c:pt idx="6">
                  <c:v>2</c:v>
                </c:pt>
                <c:pt idx="7">
                  <c:v>2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746-4427-AC85-D3BB5E5F41F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9211867"/>
        <c:axId val="84225376"/>
      </c:barChart>
      <c:catAx>
        <c:axId val="9211867"/>
        <c:scaling>
          <c:orientation val="minMax"/>
        </c:scaling>
        <c:delete val="0"/>
        <c:axPos val="l"/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pt-PT" sz="1000" b="1" strike="noStrike" spc="-1">
                    <a:solidFill>
                      <a:srgbClr val="000000"/>
                    </a:solidFill>
                    <a:latin typeface="Calibri"/>
                  </a:rPr>
                  <a:t>Nº de Deputados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pt-PT"/>
          </a:p>
        </c:txPr>
        <c:crossAx val="84225376"/>
        <c:crosses val="autoZero"/>
        <c:auto val="1"/>
        <c:lblAlgn val="ctr"/>
        <c:lblOffset val="100"/>
        <c:noMultiLvlLbl val="0"/>
      </c:catAx>
      <c:valAx>
        <c:axId val="84225376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pt-PT"/>
          </a:p>
        </c:txPr>
        <c:crossAx val="9211867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pt-PT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PT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pt-PT" sz="1800" b="1" strike="noStrike" spc="-1">
                <a:solidFill>
                  <a:srgbClr val="000000"/>
                </a:solidFill>
                <a:latin typeface="Calibri"/>
              </a:rPr>
              <a:t>Proporção por Partido (%)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pieChart>
        <c:varyColors val="1"/>
        <c:ser>
          <c:idx val="0"/>
          <c:order val="0"/>
          <c:tx>
            <c:strRef>
              <c:f>'2. Partidos e Proporção'!$B$2</c:f>
              <c:strCache>
                <c:ptCount val="1"/>
                <c:pt idx="0">
                  <c:v>Nº Deputados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dPt>
            <c:idx val="0"/>
            <c:bubble3D val="0"/>
            <c:spPr>
              <a:solidFill>
                <a:srgbClr val="4672A8"/>
              </a:solidFill>
              <a:ln w="9360">
                <a:solidFill>
                  <a:srgbClr val="F9F9F9"/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01-4FF5-41C7-9EF8-8BA9E0F11F9E}"/>
              </c:ext>
            </c:extLst>
          </c:dPt>
          <c:dPt>
            <c:idx val="1"/>
            <c:bubble3D val="0"/>
            <c:spPr>
              <a:solidFill>
                <a:srgbClr val="AB4744"/>
              </a:solidFill>
              <a:ln w="9360">
                <a:solidFill>
                  <a:srgbClr val="F9F9F9"/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03-4FF5-41C7-9EF8-8BA9E0F11F9E}"/>
              </c:ext>
            </c:extLst>
          </c:dPt>
          <c:dPt>
            <c:idx val="2"/>
            <c:bubble3D val="0"/>
            <c:spPr>
              <a:solidFill>
                <a:srgbClr val="8AA64F"/>
              </a:solidFill>
              <a:ln w="9360">
                <a:solidFill>
                  <a:srgbClr val="F9F9F9"/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05-4FF5-41C7-9EF8-8BA9E0F11F9E}"/>
              </c:ext>
            </c:extLst>
          </c:dPt>
          <c:dPt>
            <c:idx val="3"/>
            <c:bubble3D val="0"/>
            <c:spPr>
              <a:solidFill>
                <a:srgbClr val="725990"/>
              </a:solidFill>
              <a:ln w="9360">
                <a:solidFill>
                  <a:srgbClr val="F9F9F9"/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07-4FF5-41C7-9EF8-8BA9E0F11F9E}"/>
              </c:ext>
            </c:extLst>
          </c:dPt>
          <c:dPt>
            <c:idx val="4"/>
            <c:bubble3D val="0"/>
            <c:spPr>
              <a:solidFill>
                <a:srgbClr val="4299B0"/>
              </a:solidFill>
              <a:ln w="9360">
                <a:solidFill>
                  <a:srgbClr val="F9F9F9"/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09-4FF5-41C7-9EF8-8BA9E0F11F9E}"/>
              </c:ext>
            </c:extLst>
          </c:dPt>
          <c:dPt>
            <c:idx val="5"/>
            <c:bubble3D val="0"/>
            <c:spPr>
              <a:solidFill>
                <a:srgbClr val="DC853E"/>
              </a:solidFill>
              <a:ln w="9360">
                <a:solidFill>
                  <a:srgbClr val="F9F9F9"/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0B-4FF5-41C7-9EF8-8BA9E0F11F9E}"/>
              </c:ext>
            </c:extLst>
          </c:dPt>
          <c:dPt>
            <c:idx val="6"/>
            <c:bubble3D val="0"/>
            <c:spPr>
              <a:solidFill>
                <a:srgbClr val="93A9CE"/>
              </a:solidFill>
              <a:ln w="9360">
                <a:solidFill>
                  <a:srgbClr val="F9F9F9"/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0D-4FF5-41C7-9EF8-8BA9E0F11F9E}"/>
              </c:ext>
            </c:extLst>
          </c:dPt>
          <c:dPt>
            <c:idx val="7"/>
            <c:bubble3D val="0"/>
            <c:spPr>
              <a:solidFill>
                <a:srgbClr val="D09493"/>
              </a:solidFill>
              <a:ln w="9360">
                <a:solidFill>
                  <a:srgbClr val="F9F9F9"/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0F-4FF5-41C7-9EF8-8BA9E0F11F9E}"/>
              </c:ext>
            </c:extLst>
          </c:dPt>
          <c:dPt>
            <c:idx val="8"/>
            <c:bubble3D val="0"/>
            <c:spPr>
              <a:solidFill>
                <a:srgbClr val="B8CD97"/>
              </a:solidFill>
              <a:ln w="9360">
                <a:solidFill>
                  <a:srgbClr val="F9F9F9"/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11-4FF5-41C7-9EF8-8BA9E0F11F9E}"/>
              </c:ext>
            </c:extLst>
          </c:dPt>
          <c:dPt>
            <c:idx val="9"/>
            <c:bubble3D val="0"/>
            <c:spPr>
              <a:solidFill>
                <a:srgbClr val="A99BBD"/>
              </a:solidFill>
              <a:ln w="9360">
                <a:solidFill>
                  <a:srgbClr val="F9F9F9"/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13-4FF5-41C7-9EF8-8BA9E0F11F9E}"/>
              </c:ext>
            </c:extLst>
          </c:dPt>
          <c:dPt>
            <c:idx val="10"/>
            <c:bubble3D val="0"/>
            <c:spPr>
              <a:solidFill>
                <a:srgbClr val="92C3D5"/>
              </a:solidFill>
              <a:ln w="9360">
                <a:solidFill>
                  <a:srgbClr val="F9F9F9"/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15-4FF5-41C7-9EF8-8BA9E0F11F9E}"/>
              </c:ext>
            </c:extLst>
          </c:dPt>
          <c:dPt>
            <c:idx val="11"/>
            <c:bubble3D val="0"/>
            <c:spPr>
              <a:solidFill>
                <a:srgbClr val="F8B590"/>
              </a:solidFill>
              <a:ln w="9360">
                <a:solidFill>
                  <a:srgbClr val="F9F9F9"/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17-4FF5-41C7-9EF8-8BA9E0F11F9E}"/>
              </c:ext>
            </c:extLst>
          </c:dPt>
          <c:cat>
            <c:strRef>
              <c:f>'2. Partidos e Proporção'!$A$3:$A$14</c:f>
              <c:strCache>
                <c:ptCount val="12"/>
                <c:pt idx="0">
                  <c:v>PSD</c:v>
                </c:pt>
                <c:pt idx="1">
                  <c:v>CH</c:v>
                </c:pt>
                <c:pt idx="2">
                  <c:v>PS</c:v>
                </c:pt>
                <c:pt idx="3">
                  <c:v>AD (PSD/CDS-PP)</c:v>
                </c:pt>
                <c:pt idx="4">
                  <c:v>IL</c:v>
                </c:pt>
                <c:pt idx="5">
                  <c:v>L</c:v>
                </c:pt>
                <c:pt idx="6">
                  <c:v>CDS-PP</c:v>
                </c:pt>
                <c:pt idx="7">
                  <c:v>PCP</c:v>
                </c:pt>
                <c:pt idx="8">
                  <c:v>CDU</c:v>
                </c:pt>
                <c:pt idx="9">
                  <c:v>BE</c:v>
                </c:pt>
                <c:pt idx="10">
                  <c:v>JPP</c:v>
                </c:pt>
                <c:pt idx="11">
                  <c:v>PAN</c:v>
                </c:pt>
              </c:strCache>
            </c:strRef>
          </c:cat>
          <c:val>
            <c:numRef>
              <c:f>'2. Partidos e Proporção'!$B$3:$B$14</c:f>
              <c:numCache>
                <c:formatCode>General</c:formatCode>
                <c:ptCount val="12"/>
                <c:pt idx="0">
                  <c:v>65</c:v>
                </c:pt>
                <c:pt idx="1">
                  <c:v>60</c:v>
                </c:pt>
                <c:pt idx="2">
                  <c:v>58</c:v>
                </c:pt>
                <c:pt idx="3">
                  <c:v>24</c:v>
                </c:pt>
                <c:pt idx="4">
                  <c:v>9</c:v>
                </c:pt>
                <c:pt idx="5">
                  <c:v>6</c:v>
                </c:pt>
                <c:pt idx="6">
                  <c:v>2</c:v>
                </c:pt>
                <c:pt idx="7">
                  <c:v>2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4FF5-41C7-9EF8-8BA9E0F11F9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pt-PT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PT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pt-PT" sz="1800" b="1" strike="noStrike" spc="-1">
                <a:solidFill>
                  <a:srgbClr val="000000"/>
                </a:solidFill>
                <a:latin typeface="Calibri"/>
              </a:rPr>
              <a:t>Deputados por Género — 2025 (corrigido)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pieChart>
        <c:varyColors val="1"/>
        <c:ser>
          <c:idx val="0"/>
          <c:order val="0"/>
          <c:tx>
            <c:strRef>
              <c:f>'3. Deputados por Género'!$B$2</c:f>
              <c:strCache>
                <c:ptCount val="1"/>
                <c:pt idx="0">
                  <c:v>Nº de Deputados/as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dPt>
            <c:idx val="0"/>
            <c:bubble3D val="0"/>
            <c:spPr>
              <a:solidFill>
                <a:srgbClr val="4472C4"/>
              </a:solidFill>
              <a:ln w="9360">
                <a:solidFill>
                  <a:srgbClr val="F9F9F9"/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01-AF1F-4A59-A3FD-9FC12D51C2B0}"/>
              </c:ext>
            </c:extLst>
          </c:dPt>
          <c:dPt>
            <c:idx val="1"/>
            <c:bubble3D val="0"/>
            <c:spPr>
              <a:solidFill>
                <a:srgbClr val="FFCCFF"/>
              </a:solidFill>
              <a:ln w="9360">
                <a:solidFill>
                  <a:srgbClr val="F9F9F9"/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03-AF1F-4A59-A3FD-9FC12D51C2B0}"/>
              </c:ext>
            </c:extLst>
          </c:dPt>
          <c:dLbls>
            <c:dLbl>
              <c:idx val="0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pt-PT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AF1F-4A59-A3FD-9FC12D51C2B0}"/>
                </c:ext>
              </c:extLst>
            </c:dLbl>
            <c:dLbl>
              <c:idx val="1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pt-PT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AF1F-4A59-A3FD-9FC12D51C2B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pt-PT"/>
              </a:p>
            </c:txPr>
            <c:dLblPos val="bestFit"/>
            <c:showLegendKey val="0"/>
            <c:showVal val="0"/>
            <c:showCatName val="1"/>
            <c:showSerName val="0"/>
            <c:showPercent val="1"/>
            <c:showBubbleSize val="1"/>
            <c:separator>
</c:separator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'3. Deputados por Género'!$A$3:$A$4</c:f>
              <c:strCache>
                <c:ptCount val="2"/>
                <c:pt idx="0">
                  <c:v>Homens</c:v>
                </c:pt>
                <c:pt idx="1">
                  <c:v>Mulheres</c:v>
                </c:pt>
              </c:strCache>
            </c:strRef>
          </c:cat>
          <c:val>
            <c:numRef>
              <c:f>'3. Deputados por Género'!$B$3:$B$4</c:f>
              <c:numCache>
                <c:formatCode>General</c:formatCode>
                <c:ptCount val="2"/>
                <c:pt idx="0">
                  <c:v>142</c:v>
                </c:pt>
                <c:pt idx="1">
                  <c:v>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AF1F-4A59-A3FD-9FC12D51C2B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pt-PT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PT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pt-PT" sz="1800" b="1" strike="noStrike" spc="-1">
                <a:solidFill>
                  <a:srgbClr val="000000"/>
                </a:solidFill>
                <a:latin typeface="Calibri"/>
              </a:rPr>
              <a:t>Nº Deputados/as por Género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'3. Deputados por Género'!$B$2</c:f>
              <c:strCache>
                <c:ptCount val="1"/>
                <c:pt idx="0">
                  <c:v>Nº de Deputados/as</c:v>
                </c:pt>
              </c:strCache>
            </c:strRef>
          </c:tx>
          <c:spPr>
            <a:solidFill>
              <a:srgbClr val="FFCCFF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pt-PT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'3. Deputados por Género'!$A$3:$A$4</c:f>
              <c:strCache>
                <c:ptCount val="2"/>
                <c:pt idx="0">
                  <c:v>Homens</c:v>
                </c:pt>
                <c:pt idx="1">
                  <c:v>Mulheres</c:v>
                </c:pt>
              </c:strCache>
            </c:strRef>
          </c:cat>
          <c:val>
            <c:numRef>
              <c:f>'3. Deputados por Género'!$B$3:$B$4</c:f>
              <c:numCache>
                <c:formatCode>General</c:formatCode>
                <c:ptCount val="2"/>
                <c:pt idx="0">
                  <c:v>142</c:v>
                </c:pt>
                <c:pt idx="1">
                  <c:v>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C25-4F1A-A52F-37A17B9558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529243"/>
        <c:axId val="82123726"/>
      </c:barChart>
      <c:catAx>
        <c:axId val="152924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pt-PT"/>
          </a:p>
        </c:txPr>
        <c:crossAx val="82123726"/>
        <c:crosses val="autoZero"/>
        <c:auto val="1"/>
        <c:lblAlgn val="ctr"/>
        <c:lblOffset val="100"/>
        <c:noMultiLvlLbl val="0"/>
      </c:catAx>
      <c:valAx>
        <c:axId val="82123726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pt-PT"/>
          </a:p>
        </c:txPr>
        <c:crossAx val="1529243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pt-PT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PT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pt-PT" sz="1800" b="1" strike="noStrike" spc="-1">
                <a:solidFill>
                  <a:srgbClr val="000000"/>
                </a:solidFill>
                <a:latin typeface="Calibri"/>
              </a:rPr>
              <a:t>Evolução da Representação Feminina (%)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'4. Evolução'!$B$4</c:f>
              <c:strCache>
                <c:ptCount val="1"/>
                <c:pt idx="0">
                  <c:v>% Mulheres</c:v>
                </c:pt>
              </c:strCache>
            </c:strRef>
          </c:tx>
          <c:spPr>
            <a:ln w="28440">
              <a:solidFill>
                <a:schemeClr val="accent5">
                  <a:lumMod val="75000"/>
                </a:schemeClr>
              </a:solidFill>
              <a:round/>
            </a:ln>
          </c:spPr>
          <c:marker>
            <c:symbol val="circle"/>
            <c:size val="8"/>
            <c:spPr>
              <a:solidFill>
                <a:srgbClr val="C0504D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pt-PT"/>
              </a:p>
            </c:txPr>
            <c:dLblPos val="r"/>
            <c:showLegendKey val="0"/>
            <c:showVal val="1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'4. Evolução'!$A$5:$A$9</c:f>
              <c:strCache>
                <c:ptCount val="5"/>
                <c:pt idx="0">
                  <c:v>2015</c:v>
                </c:pt>
                <c:pt idx="1">
                  <c:v>2019</c:v>
                </c:pt>
                <c:pt idx="2">
                  <c:v>2022</c:v>
                </c:pt>
                <c:pt idx="3">
                  <c:v>2024</c:v>
                </c:pt>
                <c:pt idx="4">
                  <c:v>2025</c:v>
                </c:pt>
              </c:strCache>
            </c:strRef>
          </c:cat>
          <c:val>
            <c:numRef>
              <c:f>'4. Evolução'!$B$5:$B$9</c:f>
              <c:numCache>
                <c:formatCode>0.0%</c:formatCode>
                <c:ptCount val="5"/>
                <c:pt idx="0">
                  <c:v>0.33</c:v>
                </c:pt>
                <c:pt idx="1">
                  <c:v>0.38700000000000001</c:v>
                </c:pt>
                <c:pt idx="2">
                  <c:v>0.37</c:v>
                </c:pt>
                <c:pt idx="3">
                  <c:v>0.33600000000000002</c:v>
                </c:pt>
                <c:pt idx="4">
                  <c:v>0.38260869565217398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2404-4928-A44F-C51BBCD66A1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marker val="1"/>
        <c:smooth val="0"/>
        <c:axId val="62045256"/>
        <c:axId val="70085372"/>
      </c:lineChart>
      <c:catAx>
        <c:axId val="62045256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pt-PT" sz="1000" b="1" strike="noStrike" spc="-1">
                    <a:solidFill>
                      <a:srgbClr val="000000"/>
                    </a:solidFill>
                    <a:latin typeface="Calibri"/>
                  </a:rPr>
                  <a:t>Eleições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pt-PT"/>
          </a:p>
        </c:txPr>
        <c:crossAx val="70085372"/>
        <c:crosses val="autoZero"/>
        <c:auto val="1"/>
        <c:lblAlgn val="ctr"/>
        <c:lblOffset val="100"/>
        <c:noMultiLvlLbl val="0"/>
      </c:catAx>
      <c:valAx>
        <c:axId val="70085372"/>
        <c:scaling>
          <c:orientation val="minMax"/>
          <c:max val="0.42"/>
          <c:min val="0.28000000000000003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pt-PT" sz="1000" b="1" strike="noStrike" spc="-1">
                    <a:solidFill>
                      <a:srgbClr val="000000"/>
                    </a:solidFill>
                    <a:latin typeface="Calibri"/>
                  </a:rPr>
                  <a:t>% Mulheres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pt-PT"/>
          </a:p>
        </c:txPr>
        <c:crossAx val="62045256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pt-PT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PT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pt-PT" sz="1800" b="1" strike="noStrike" spc="-1">
                <a:solidFill>
                  <a:srgbClr val="000000"/>
                </a:solidFill>
                <a:latin typeface="Calibri"/>
              </a:rPr>
              <a:t>Representação por Género — Evolução (%)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'4. Evolução'!$B$4</c:f>
              <c:strCache>
                <c:ptCount val="1"/>
                <c:pt idx="0">
                  <c:v>% Mulheres</c:v>
                </c:pt>
              </c:strCache>
            </c:strRef>
          </c:tx>
          <c:spPr>
            <a:solidFill>
              <a:srgbClr val="C0504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pt-PT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'4. Evolução'!$A$5:$A$9</c:f>
              <c:strCache>
                <c:ptCount val="5"/>
                <c:pt idx="0">
                  <c:v>2015</c:v>
                </c:pt>
                <c:pt idx="1">
                  <c:v>2019</c:v>
                </c:pt>
                <c:pt idx="2">
                  <c:v>2022</c:v>
                </c:pt>
                <c:pt idx="3">
                  <c:v>2024</c:v>
                </c:pt>
                <c:pt idx="4">
                  <c:v>2025</c:v>
                </c:pt>
              </c:strCache>
            </c:strRef>
          </c:cat>
          <c:val>
            <c:numRef>
              <c:f>'4. Evolução'!$B$5:$B$9</c:f>
              <c:numCache>
                <c:formatCode>0.0%</c:formatCode>
                <c:ptCount val="5"/>
                <c:pt idx="0">
                  <c:v>0.33</c:v>
                </c:pt>
                <c:pt idx="1">
                  <c:v>0.38700000000000001</c:v>
                </c:pt>
                <c:pt idx="2">
                  <c:v>0.37</c:v>
                </c:pt>
                <c:pt idx="3">
                  <c:v>0.33600000000000002</c:v>
                </c:pt>
                <c:pt idx="4">
                  <c:v>0.38260869565217398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5D3-4E6A-BA1B-E87370F97174}"/>
            </c:ext>
          </c:extLst>
        </c:ser>
        <c:ser>
          <c:idx val="1"/>
          <c:order val="1"/>
          <c:tx>
            <c:strRef>
              <c:f>'4. Evolução'!$C$4</c:f>
              <c:strCache>
                <c:ptCount val="1"/>
                <c:pt idx="0">
                  <c:v>% Homens</c:v>
                </c:pt>
              </c:strCache>
            </c:strRef>
          </c:tx>
          <c:spPr>
            <a:solidFill>
              <a:srgbClr val="4472C4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pt-PT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'4. Evolução'!$A$5:$A$9</c:f>
              <c:strCache>
                <c:ptCount val="5"/>
                <c:pt idx="0">
                  <c:v>2015</c:v>
                </c:pt>
                <c:pt idx="1">
                  <c:v>2019</c:v>
                </c:pt>
                <c:pt idx="2">
                  <c:v>2022</c:v>
                </c:pt>
                <c:pt idx="3">
                  <c:v>2024</c:v>
                </c:pt>
                <c:pt idx="4">
                  <c:v>2025</c:v>
                </c:pt>
              </c:strCache>
            </c:strRef>
          </c:cat>
          <c:val>
            <c:numRef>
              <c:f>'4. Evolução'!$C$5:$C$9</c:f>
              <c:numCache>
                <c:formatCode>0.0%</c:formatCode>
                <c:ptCount val="5"/>
                <c:pt idx="0">
                  <c:v>0.67</c:v>
                </c:pt>
                <c:pt idx="1">
                  <c:v>0.61299999999999999</c:v>
                </c:pt>
                <c:pt idx="2">
                  <c:v>0.63</c:v>
                </c:pt>
                <c:pt idx="3">
                  <c:v>0.66400000000000003</c:v>
                </c:pt>
                <c:pt idx="4">
                  <c:v>0.61739130434782596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5D3-4E6A-BA1B-E87370F9717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53306393"/>
        <c:axId val="63769293"/>
      </c:barChart>
      <c:catAx>
        <c:axId val="5330639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pt-PT"/>
          </a:p>
        </c:txPr>
        <c:crossAx val="63769293"/>
        <c:crosses val="autoZero"/>
        <c:auto val="1"/>
        <c:lblAlgn val="ctr"/>
        <c:lblOffset val="100"/>
        <c:noMultiLvlLbl val="0"/>
      </c:catAx>
      <c:valAx>
        <c:axId val="63769293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pt-PT" sz="1000" b="1" strike="noStrike" spc="-1">
                    <a:solidFill>
                      <a:srgbClr val="000000"/>
                    </a:solidFill>
                    <a:latin typeface="Calibri"/>
                  </a:rPr>
                  <a:t>%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pt-PT"/>
          </a:p>
        </c:txPr>
        <c:crossAx val="53306393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pt-PT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0</xdr:colOff>
      <xdr:row>1</xdr:row>
      <xdr:rowOff>0</xdr:rowOff>
    </xdr:from>
    <xdr:to>
      <xdr:col>16</xdr:col>
      <xdr:colOff>364680</xdr:colOff>
      <xdr:row>23</xdr:row>
      <xdr:rowOff>105915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3</xdr:col>
      <xdr:colOff>503464</xdr:colOff>
      <xdr:row>28</xdr:row>
      <xdr:rowOff>140607</xdr:rowOff>
    </xdr:from>
    <xdr:to>
      <xdr:col>14</xdr:col>
      <xdr:colOff>147599</xdr:colOff>
      <xdr:row>46</xdr:row>
      <xdr:rowOff>135618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152400</xdr:colOff>
      <xdr:row>2</xdr:row>
      <xdr:rowOff>213360</xdr:rowOff>
    </xdr:from>
    <xdr:to>
      <xdr:col>17</xdr:col>
      <xdr:colOff>121920</xdr:colOff>
      <xdr:row>16</xdr:row>
      <xdr:rowOff>87923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2</xdr:col>
      <xdr:colOff>518160</xdr:colOff>
      <xdr:row>7</xdr:row>
      <xdr:rowOff>144780</xdr:rowOff>
    </xdr:from>
    <xdr:to>
      <xdr:col>10</xdr:col>
      <xdr:colOff>25680</xdr:colOff>
      <xdr:row>25</xdr:row>
      <xdr:rowOff>142309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3</xdr:row>
      <xdr:rowOff>0</xdr:rowOff>
    </xdr:from>
    <xdr:to>
      <xdr:col>16</xdr:col>
      <xdr:colOff>473040</xdr:colOff>
      <xdr:row>17</xdr:row>
      <xdr:rowOff>107640</xdr:rowOff>
    </xdr:to>
    <xdr:graphicFrame macro="">
      <xdr:nvGraphicFramePr>
        <xdr:cNvPr id="4" name="Chart 1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5</xdr:col>
      <xdr:colOff>0</xdr:colOff>
      <xdr:row>20</xdr:row>
      <xdr:rowOff>0</xdr:rowOff>
    </xdr:from>
    <xdr:to>
      <xdr:col>16</xdr:col>
      <xdr:colOff>473040</xdr:colOff>
      <xdr:row>42</xdr:row>
      <xdr:rowOff>128880</xdr:rowOff>
    </xdr:to>
    <xdr:graphicFrame macro="">
      <xdr:nvGraphicFramePr>
        <xdr:cNvPr id="5" name="Chart 2">
          <a:extLst>
            <a:ext uri="{FF2B5EF4-FFF2-40B4-BE49-F238E27FC236}">
              <a16:creationId xmlns:a16="http://schemas.microsoft.com/office/drawing/2014/main" id="{00000000-0008-0000-04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232"/>
  <sheetViews>
    <sheetView tabSelected="1" topLeftCell="J1" zoomScaleNormal="100" workbookViewId="0">
      <selection activeCell="Q13" sqref="Q13"/>
    </sheetView>
  </sheetViews>
  <sheetFormatPr defaultColWidth="8.6640625" defaultRowHeight="13.8" x14ac:dyDescent="0.25"/>
  <cols>
    <col min="1" max="1" width="48" style="7" customWidth="1"/>
    <col min="2" max="2" width="14" style="7" customWidth="1"/>
    <col min="3" max="3" width="16" style="7" customWidth="1"/>
    <col min="4" max="4" width="20" style="7" customWidth="1"/>
    <col min="5" max="5" width="14" style="7" customWidth="1"/>
    <col min="6" max="6" width="29.44140625" style="1" hidden="1" customWidth="1"/>
    <col min="7" max="7" width="13.5546875" style="7" bestFit="1" customWidth="1"/>
    <col min="8" max="16384" width="8.6640625" style="7"/>
  </cols>
  <sheetData>
    <row r="1" spans="1:17" ht="30" customHeight="1" x14ac:dyDescent="0.25">
      <c r="A1" s="51" t="s">
        <v>310</v>
      </c>
      <c r="B1" s="51"/>
      <c r="C1" s="51"/>
      <c r="D1" s="51"/>
      <c r="E1" s="51"/>
      <c r="F1" s="6"/>
      <c r="G1" s="6"/>
    </row>
    <row r="2" spans="1:17" ht="21.75" customHeight="1" x14ac:dyDescent="0.25">
      <c r="A2" s="8" t="s">
        <v>0</v>
      </c>
      <c r="B2" s="8" t="s">
        <v>9</v>
      </c>
      <c r="C2" s="8" t="s">
        <v>10</v>
      </c>
      <c r="D2" s="8" t="s">
        <v>1</v>
      </c>
      <c r="E2" s="9" t="s">
        <v>311</v>
      </c>
      <c r="F2" s="9" t="s">
        <v>312</v>
      </c>
      <c r="G2" s="10" t="s">
        <v>313</v>
      </c>
    </row>
    <row r="3" spans="1:17" ht="15.75" customHeight="1" x14ac:dyDescent="0.25">
      <c r="A3" s="11" t="s">
        <v>11</v>
      </c>
      <c r="B3" s="12" t="s">
        <v>12</v>
      </c>
      <c r="C3" s="13" t="s">
        <v>13</v>
      </c>
      <c r="D3" s="13" t="s">
        <v>14</v>
      </c>
      <c r="E3" s="2">
        <f>2026-F3</f>
        <v>46</v>
      </c>
      <c r="F3" s="2">
        <v>1980</v>
      </c>
      <c r="G3" s="3" t="s">
        <v>13</v>
      </c>
    </row>
    <row r="4" spans="1:17" ht="15.75" customHeight="1" x14ac:dyDescent="0.25">
      <c r="A4" s="11" t="s">
        <v>2</v>
      </c>
      <c r="B4" s="12" t="s">
        <v>12</v>
      </c>
      <c r="C4" s="13" t="s">
        <v>15</v>
      </c>
      <c r="D4" s="13" t="s">
        <v>3</v>
      </c>
      <c r="E4" s="2">
        <f t="shared" ref="E4:E67" si="0">2026-F4</f>
        <v>50</v>
      </c>
      <c r="F4" s="2">
        <v>1976</v>
      </c>
      <c r="G4" s="3" t="s">
        <v>15</v>
      </c>
    </row>
    <row r="5" spans="1:17" ht="15.75" customHeight="1" x14ac:dyDescent="0.25">
      <c r="A5" s="11" t="s">
        <v>16</v>
      </c>
      <c r="B5" s="14" t="s">
        <v>17</v>
      </c>
      <c r="C5" s="13" t="s">
        <v>18</v>
      </c>
      <c r="D5" s="13" t="s">
        <v>14</v>
      </c>
      <c r="E5" s="2">
        <f t="shared" si="0"/>
        <v>53</v>
      </c>
      <c r="F5" s="2">
        <v>1973</v>
      </c>
      <c r="G5" s="3" t="s">
        <v>18</v>
      </c>
    </row>
    <row r="6" spans="1:17" ht="15.75" customHeight="1" x14ac:dyDescent="0.25">
      <c r="A6" s="11" t="s">
        <v>19</v>
      </c>
      <c r="B6" s="14" t="s">
        <v>17</v>
      </c>
      <c r="C6" s="13" t="s">
        <v>18</v>
      </c>
      <c r="D6" s="13" t="s">
        <v>14</v>
      </c>
      <c r="E6" s="2">
        <f t="shared" si="0"/>
        <v>48</v>
      </c>
      <c r="F6" s="2">
        <v>1978</v>
      </c>
      <c r="G6" s="3" t="s">
        <v>18</v>
      </c>
    </row>
    <row r="7" spans="1:17" ht="15.75" customHeight="1" x14ac:dyDescent="0.25">
      <c r="A7" s="11" t="s">
        <v>20</v>
      </c>
      <c r="B7" s="14" t="s">
        <v>17</v>
      </c>
      <c r="C7" s="13" t="s">
        <v>21</v>
      </c>
      <c r="D7" s="13" t="s">
        <v>14</v>
      </c>
      <c r="E7" s="2">
        <f t="shared" si="0"/>
        <v>34</v>
      </c>
      <c r="F7" s="2">
        <v>1992</v>
      </c>
      <c r="G7" s="3" t="s">
        <v>21</v>
      </c>
    </row>
    <row r="8" spans="1:17" ht="15.75" customHeight="1" x14ac:dyDescent="0.25">
      <c r="A8" s="11" t="s">
        <v>22</v>
      </c>
      <c r="B8" s="14" t="s">
        <v>17</v>
      </c>
      <c r="C8" s="13" t="s">
        <v>18</v>
      </c>
      <c r="D8" s="13" t="s">
        <v>23</v>
      </c>
      <c r="E8" s="2">
        <f t="shared" si="0"/>
        <v>64</v>
      </c>
      <c r="F8" s="2">
        <v>1962</v>
      </c>
      <c r="G8" s="3" t="s">
        <v>18</v>
      </c>
    </row>
    <row r="9" spans="1:17" ht="15.75" customHeight="1" x14ac:dyDescent="0.25">
      <c r="A9" s="11" t="s">
        <v>24</v>
      </c>
      <c r="B9" s="14" t="s">
        <v>17</v>
      </c>
      <c r="C9" s="13" t="s">
        <v>13</v>
      </c>
      <c r="D9" s="13" t="s">
        <v>14</v>
      </c>
      <c r="E9" s="2">
        <f t="shared" si="0"/>
        <v>61</v>
      </c>
      <c r="F9" s="2">
        <v>1965</v>
      </c>
      <c r="G9" s="3" t="s">
        <v>13</v>
      </c>
    </row>
    <row r="10" spans="1:17" ht="15.75" customHeight="1" x14ac:dyDescent="0.25">
      <c r="A10" s="11" t="s">
        <v>25</v>
      </c>
      <c r="B10" s="14" t="s">
        <v>17</v>
      </c>
      <c r="C10" s="13" t="s">
        <v>26</v>
      </c>
      <c r="D10" s="13" t="s">
        <v>14</v>
      </c>
      <c r="E10" s="2">
        <f t="shared" si="0"/>
        <v>52</v>
      </c>
      <c r="F10" s="2">
        <v>1974</v>
      </c>
      <c r="G10" s="3" t="s">
        <v>26</v>
      </c>
    </row>
    <row r="11" spans="1:17" ht="15.75" customHeight="1" x14ac:dyDescent="0.25">
      <c r="A11" s="11" t="s">
        <v>27</v>
      </c>
      <c r="B11" s="12" t="s">
        <v>12</v>
      </c>
      <c r="C11" s="13" t="s">
        <v>21</v>
      </c>
      <c r="D11" s="13" t="s">
        <v>3</v>
      </c>
      <c r="E11" s="2">
        <f t="shared" si="0"/>
        <v>58</v>
      </c>
      <c r="F11" s="2">
        <v>1968</v>
      </c>
      <c r="G11" s="3" t="s">
        <v>21</v>
      </c>
    </row>
    <row r="12" spans="1:17" ht="15.75" customHeight="1" x14ac:dyDescent="0.25">
      <c r="A12" s="11" t="s">
        <v>28</v>
      </c>
      <c r="B12" s="12" t="s">
        <v>12</v>
      </c>
      <c r="C12" s="13" t="s">
        <v>18</v>
      </c>
      <c r="D12" s="13" t="s">
        <v>14</v>
      </c>
      <c r="E12" s="2">
        <f t="shared" si="0"/>
        <v>29</v>
      </c>
      <c r="F12" s="2">
        <v>1997</v>
      </c>
      <c r="G12" s="3" t="s">
        <v>18</v>
      </c>
    </row>
    <row r="13" spans="1:17" ht="15.75" customHeight="1" x14ac:dyDescent="0.25">
      <c r="A13" s="11" t="s">
        <v>29</v>
      </c>
      <c r="B13" s="12" t="s">
        <v>12</v>
      </c>
      <c r="C13" s="13" t="s">
        <v>18</v>
      </c>
      <c r="D13" s="13" t="s">
        <v>14</v>
      </c>
      <c r="E13" s="2">
        <f t="shared" si="0"/>
        <v>47</v>
      </c>
      <c r="F13" s="2">
        <v>1979</v>
      </c>
      <c r="G13" s="3" t="s">
        <v>18</v>
      </c>
      <c r="Q13" s="7" t="s">
        <v>314</v>
      </c>
    </row>
    <row r="14" spans="1:17" ht="15.75" customHeight="1" x14ac:dyDescent="0.25">
      <c r="A14" s="11" t="s">
        <v>30</v>
      </c>
      <c r="B14" s="12" t="s">
        <v>12</v>
      </c>
      <c r="C14" s="13" t="s">
        <v>31</v>
      </c>
      <c r="D14" s="13" t="s">
        <v>32</v>
      </c>
      <c r="E14" s="2">
        <f t="shared" si="0"/>
        <v>48</v>
      </c>
      <c r="F14" s="2">
        <v>1978</v>
      </c>
      <c r="G14" s="3" t="s">
        <v>31</v>
      </c>
    </row>
    <row r="15" spans="1:17" ht="15.75" customHeight="1" x14ac:dyDescent="0.25">
      <c r="A15" s="11" t="s">
        <v>33</v>
      </c>
      <c r="B15" s="12" t="s">
        <v>12</v>
      </c>
      <c r="C15" s="13" t="s">
        <v>34</v>
      </c>
      <c r="D15" s="13" t="s">
        <v>14</v>
      </c>
      <c r="E15" s="2">
        <f t="shared" si="0"/>
        <v>42</v>
      </c>
      <c r="F15" s="2">
        <v>1984</v>
      </c>
      <c r="G15" s="3" t="s">
        <v>34</v>
      </c>
    </row>
    <row r="16" spans="1:17" ht="15.75" customHeight="1" x14ac:dyDescent="0.25">
      <c r="A16" s="11" t="s">
        <v>35</v>
      </c>
      <c r="B16" s="12" t="s">
        <v>12</v>
      </c>
      <c r="C16" s="13" t="s">
        <v>26</v>
      </c>
      <c r="D16" s="13" t="s">
        <v>14</v>
      </c>
      <c r="E16" s="2">
        <f t="shared" si="0"/>
        <v>55</v>
      </c>
      <c r="F16" s="2">
        <v>1971</v>
      </c>
      <c r="G16" s="3" t="s">
        <v>26</v>
      </c>
    </row>
    <row r="17" spans="1:7" ht="15.75" customHeight="1" x14ac:dyDescent="0.25">
      <c r="A17" s="11" t="s">
        <v>36</v>
      </c>
      <c r="B17" s="14" t="s">
        <v>17</v>
      </c>
      <c r="C17" s="13" t="s">
        <v>37</v>
      </c>
      <c r="D17" s="13" t="s">
        <v>3</v>
      </c>
      <c r="E17" s="2">
        <f t="shared" si="0"/>
        <v>42</v>
      </c>
      <c r="F17" s="2">
        <v>1984</v>
      </c>
      <c r="G17" s="3" t="s">
        <v>37</v>
      </c>
    </row>
    <row r="18" spans="1:7" ht="15.75" customHeight="1" x14ac:dyDescent="0.25">
      <c r="A18" s="11" t="s">
        <v>38</v>
      </c>
      <c r="B18" s="14" t="s">
        <v>17</v>
      </c>
      <c r="C18" s="13" t="s">
        <v>21</v>
      </c>
      <c r="D18" s="13" t="s">
        <v>3</v>
      </c>
      <c r="E18" s="2">
        <f t="shared" si="0"/>
        <v>42</v>
      </c>
      <c r="F18" s="2">
        <v>1984</v>
      </c>
      <c r="G18" s="3" t="s">
        <v>21</v>
      </c>
    </row>
    <row r="19" spans="1:7" ht="15.75" customHeight="1" x14ac:dyDescent="0.25">
      <c r="A19" s="11" t="s">
        <v>39</v>
      </c>
      <c r="B19" s="14" t="s">
        <v>17</v>
      </c>
      <c r="C19" s="13" t="s">
        <v>21</v>
      </c>
      <c r="D19" s="13" t="s">
        <v>32</v>
      </c>
      <c r="E19" s="2">
        <f t="shared" si="0"/>
        <v>43</v>
      </c>
      <c r="F19" s="2">
        <v>1983</v>
      </c>
      <c r="G19" s="3" t="s">
        <v>21</v>
      </c>
    </row>
    <row r="20" spans="1:7" ht="15.75" customHeight="1" x14ac:dyDescent="0.25">
      <c r="A20" s="11" t="s">
        <v>40</v>
      </c>
      <c r="B20" s="12" t="s">
        <v>12</v>
      </c>
      <c r="C20" s="13" t="s">
        <v>18</v>
      </c>
      <c r="D20" s="13" t="s">
        <v>14</v>
      </c>
      <c r="E20" s="2">
        <f t="shared" si="0"/>
        <v>46</v>
      </c>
      <c r="F20" s="2">
        <v>1980</v>
      </c>
      <c r="G20" s="3" t="s">
        <v>18</v>
      </c>
    </row>
    <row r="21" spans="1:7" ht="15.75" customHeight="1" x14ac:dyDescent="0.25">
      <c r="A21" s="11" t="s">
        <v>41</v>
      </c>
      <c r="B21" s="12" t="s">
        <v>12</v>
      </c>
      <c r="C21" s="13" t="s">
        <v>21</v>
      </c>
      <c r="D21" s="13" t="s">
        <v>42</v>
      </c>
      <c r="E21" s="2">
        <f t="shared" si="0"/>
        <v>49</v>
      </c>
      <c r="F21" s="2">
        <v>1977</v>
      </c>
      <c r="G21" s="3" t="s">
        <v>21</v>
      </c>
    </row>
    <row r="22" spans="1:7" ht="15.75" customHeight="1" x14ac:dyDescent="0.25">
      <c r="A22" s="11" t="s">
        <v>43</v>
      </c>
      <c r="B22" s="14" t="s">
        <v>17</v>
      </c>
      <c r="C22" s="13" t="s">
        <v>44</v>
      </c>
      <c r="D22" s="13" t="s">
        <v>32</v>
      </c>
      <c r="E22" s="2">
        <f t="shared" si="0"/>
        <v>57</v>
      </c>
      <c r="F22" s="2">
        <v>1969</v>
      </c>
      <c r="G22" s="3" t="s">
        <v>44</v>
      </c>
    </row>
    <row r="23" spans="1:7" ht="15.75" customHeight="1" x14ac:dyDescent="0.25">
      <c r="A23" s="11" t="s">
        <v>45</v>
      </c>
      <c r="B23" s="14" t="s">
        <v>17</v>
      </c>
      <c r="C23" s="13" t="s">
        <v>37</v>
      </c>
      <c r="D23" s="13" t="s">
        <v>3</v>
      </c>
      <c r="E23" s="2">
        <f t="shared" si="0"/>
        <v>50</v>
      </c>
      <c r="F23" s="2">
        <v>1976</v>
      </c>
      <c r="G23" s="3" t="s">
        <v>37</v>
      </c>
    </row>
    <row r="24" spans="1:7" ht="15.75" customHeight="1" x14ac:dyDescent="0.25">
      <c r="A24" s="11" t="s">
        <v>46</v>
      </c>
      <c r="B24" s="14" t="s">
        <v>17</v>
      </c>
      <c r="C24" s="13" t="s">
        <v>21</v>
      </c>
      <c r="D24" s="13" t="s">
        <v>14</v>
      </c>
      <c r="E24" s="2">
        <f t="shared" si="0"/>
        <v>68</v>
      </c>
      <c r="F24" s="2">
        <v>1958</v>
      </c>
      <c r="G24" s="3" t="s">
        <v>21</v>
      </c>
    </row>
    <row r="25" spans="1:7" ht="15.75" customHeight="1" x14ac:dyDescent="0.25">
      <c r="A25" s="11" t="s">
        <v>47</v>
      </c>
      <c r="B25" s="14" t="s">
        <v>17</v>
      </c>
      <c r="C25" s="13" t="s">
        <v>13</v>
      </c>
      <c r="D25" s="13" t="s">
        <v>32</v>
      </c>
      <c r="E25" s="2">
        <f t="shared" si="0"/>
        <v>70</v>
      </c>
      <c r="F25" s="2">
        <v>1956</v>
      </c>
      <c r="G25" s="3" t="s">
        <v>13</v>
      </c>
    </row>
    <row r="26" spans="1:7" ht="15.75" customHeight="1" x14ac:dyDescent="0.25">
      <c r="A26" s="11" t="s">
        <v>48</v>
      </c>
      <c r="B26" s="14" t="s">
        <v>17</v>
      </c>
      <c r="C26" s="13" t="s">
        <v>49</v>
      </c>
      <c r="D26" s="13" t="s">
        <v>3</v>
      </c>
      <c r="E26" s="2">
        <f t="shared" si="0"/>
        <v>57</v>
      </c>
      <c r="F26" s="2">
        <v>1969</v>
      </c>
      <c r="G26" s="3" t="s">
        <v>49</v>
      </c>
    </row>
    <row r="27" spans="1:7" ht="15.75" customHeight="1" x14ac:dyDescent="0.25">
      <c r="A27" s="11" t="s">
        <v>50</v>
      </c>
      <c r="B27" s="12" t="s">
        <v>12</v>
      </c>
      <c r="C27" s="13" t="s">
        <v>51</v>
      </c>
      <c r="D27" s="13" t="s">
        <v>14</v>
      </c>
      <c r="E27" s="2">
        <f t="shared" si="0"/>
        <v>34</v>
      </c>
      <c r="F27" s="2">
        <v>1992</v>
      </c>
      <c r="G27" s="3" t="s">
        <v>51</v>
      </c>
    </row>
    <row r="28" spans="1:7" ht="15.75" customHeight="1" x14ac:dyDescent="0.25">
      <c r="A28" s="11" t="s">
        <v>52</v>
      </c>
      <c r="B28" s="14" t="s">
        <v>17</v>
      </c>
      <c r="C28" s="13" t="s">
        <v>49</v>
      </c>
      <c r="D28" s="13" t="s">
        <v>32</v>
      </c>
      <c r="E28" s="2">
        <f t="shared" si="0"/>
        <v>43</v>
      </c>
      <c r="F28" s="2">
        <v>1983</v>
      </c>
      <c r="G28" s="3" t="s">
        <v>49</v>
      </c>
    </row>
    <row r="29" spans="1:7" ht="15.75" customHeight="1" x14ac:dyDescent="0.25">
      <c r="A29" s="11" t="s">
        <v>53</v>
      </c>
      <c r="B29" s="14" t="s">
        <v>17</v>
      </c>
      <c r="C29" s="13" t="s">
        <v>49</v>
      </c>
      <c r="D29" s="13" t="s">
        <v>14</v>
      </c>
      <c r="E29" s="2">
        <f t="shared" si="0"/>
        <v>30</v>
      </c>
      <c r="F29" s="2">
        <v>1996</v>
      </c>
      <c r="G29" s="3" t="s">
        <v>49</v>
      </c>
    </row>
    <row r="30" spans="1:7" ht="15.75" customHeight="1" x14ac:dyDescent="0.25">
      <c r="A30" s="11" t="s">
        <v>54</v>
      </c>
      <c r="B30" s="14" t="s">
        <v>17</v>
      </c>
      <c r="C30" s="13" t="s">
        <v>21</v>
      </c>
      <c r="D30" s="13" t="s">
        <v>32</v>
      </c>
      <c r="E30" s="2">
        <f t="shared" si="0"/>
        <v>50</v>
      </c>
      <c r="F30" s="2">
        <v>1976</v>
      </c>
      <c r="G30" s="3" t="s">
        <v>21</v>
      </c>
    </row>
    <row r="31" spans="1:7" ht="15.75" customHeight="1" x14ac:dyDescent="0.25">
      <c r="A31" s="11" t="s">
        <v>55</v>
      </c>
      <c r="B31" s="14" t="s">
        <v>17</v>
      </c>
      <c r="C31" s="13" t="s">
        <v>21</v>
      </c>
      <c r="D31" s="13" t="s">
        <v>14</v>
      </c>
      <c r="E31" s="2">
        <f t="shared" si="0"/>
        <v>46</v>
      </c>
      <c r="F31" s="2">
        <v>1980</v>
      </c>
      <c r="G31" s="3" t="s">
        <v>21</v>
      </c>
    </row>
    <row r="32" spans="1:7" ht="15.75" customHeight="1" x14ac:dyDescent="0.25">
      <c r="A32" s="11" t="s">
        <v>56</v>
      </c>
      <c r="B32" s="14" t="s">
        <v>17</v>
      </c>
      <c r="C32" s="13" t="s">
        <v>37</v>
      </c>
      <c r="D32" s="13" t="s">
        <v>14</v>
      </c>
      <c r="E32" s="2">
        <f t="shared" si="0"/>
        <v>55</v>
      </c>
      <c r="F32" s="2">
        <v>1971</v>
      </c>
      <c r="G32" s="3" t="s">
        <v>37</v>
      </c>
    </row>
    <row r="33" spans="1:7" ht="15.75" customHeight="1" x14ac:dyDescent="0.25">
      <c r="A33" s="11" t="s">
        <v>57</v>
      </c>
      <c r="B33" s="12" t="s">
        <v>12</v>
      </c>
      <c r="C33" s="13" t="s">
        <v>18</v>
      </c>
      <c r="D33" s="13" t="s">
        <v>14</v>
      </c>
      <c r="E33" s="2">
        <f t="shared" si="0"/>
        <v>46</v>
      </c>
      <c r="F33" s="2">
        <v>1980</v>
      </c>
      <c r="G33" s="3" t="s">
        <v>18</v>
      </c>
    </row>
    <row r="34" spans="1:7" ht="15.75" customHeight="1" x14ac:dyDescent="0.25">
      <c r="A34" s="11" t="s">
        <v>58</v>
      </c>
      <c r="B34" s="14" t="s">
        <v>17</v>
      </c>
      <c r="C34" s="13" t="s">
        <v>59</v>
      </c>
      <c r="D34" s="13" t="s">
        <v>14</v>
      </c>
      <c r="E34" s="2">
        <f t="shared" si="0"/>
        <v>65</v>
      </c>
      <c r="F34" s="2">
        <v>1961</v>
      </c>
      <c r="G34" s="3" t="s">
        <v>59</v>
      </c>
    </row>
    <row r="35" spans="1:7" ht="15.75" customHeight="1" x14ac:dyDescent="0.25">
      <c r="A35" s="11" t="s">
        <v>60</v>
      </c>
      <c r="B35" s="14" t="s">
        <v>17</v>
      </c>
      <c r="C35" s="13" t="s">
        <v>61</v>
      </c>
      <c r="D35" s="13" t="s">
        <v>32</v>
      </c>
      <c r="E35" s="2">
        <f t="shared" si="0"/>
        <v>45</v>
      </c>
      <c r="F35" s="2">
        <v>1981</v>
      </c>
      <c r="G35" s="3" t="s">
        <v>61</v>
      </c>
    </row>
    <row r="36" spans="1:7" ht="15.75" customHeight="1" x14ac:dyDescent="0.25">
      <c r="A36" s="11" t="s">
        <v>62</v>
      </c>
      <c r="B36" s="14" t="s">
        <v>17</v>
      </c>
      <c r="C36" s="13" t="s">
        <v>61</v>
      </c>
      <c r="D36" s="13" t="s">
        <v>14</v>
      </c>
      <c r="E36" s="2">
        <f t="shared" si="0"/>
        <v>41</v>
      </c>
      <c r="F36" s="2">
        <v>1985</v>
      </c>
      <c r="G36" s="3" t="s">
        <v>61</v>
      </c>
    </row>
    <row r="37" spans="1:7" ht="15.75" customHeight="1" x14ac:dyDescent="0.25">
      <c r="A37" s="11" t="s">
        <v>63</v>
      </c>
      <c r="B37" s="14" t="s">
        <v>17</v>
      </c>
      <c r="C37" s="13" t="s">
        <v>18</v>
      </c>
      <c r="D37" s="13" t="s">
        <v>42</v>
      </c>
      <c r="E37" s="2">
        <f t="shared" si="0"/>
        <v>43</v>
      </c>
      <c r="F37" s="2">
        <v>1983</v>
      </c>
      <c r="G37" s="3" t="s">
        <v>18</v>
      </c>
    </row>
    <row r="38" spans="1:7" ht="15.75" customHeight="1" x14ac:dyDescent="0.25">
      <c r="A38" s="11" t="s">
        <v>64</v>
      </c>
      <c r="B38" s="14" t="s">
        <v>17</v>
      </c>
      <c r="C38" s="13" t="s">
        <v>37</v>
      </c>
      <c r="D38" s="13" t="s">
        <v>3</v>
      </c>
      <c r="E38" s="2">
        <f t="shared" si="0"/>
        <v>57</v>
      </c>
      <c r="F38" s="2">
        <v>1969</v>
      </c>
      <c r="G38" s="3" t="s">
        <v>37</v>
      </c>
    </row>
    <row r="39" spans="1:7" ht="15.75" customHeight="1" x14ac:dyDescent="0.25">
      <c r="A39" s="11" t="s">
        <v>65</v>
      </c>
      <c r="B39" s="14" t="s">
        <v>17</v>
      </c>
      <c r="C39" s="13" t="s">
        <v>49</v>
      </c>
      <c r="D39" s="13" t="s">
        <v>14</v>
      </c>
      <c r="E39" s="2">
        <f t="shared" si="0"/>
        <v>49</v>
      </c>
      <c r="F39" s="2">
        <v>1977</v>
      </c>
      <c r="G39" s="3" t="s">
        <v>49</v>
      </c>
    </row>
    <row r="40" spans="1:7" ht="15.75" customHeight="1" x14ac:dyDescent="0.25">
      <c r="A40" s="11" t="s">
        <v>66</v>
      </c>
      <c r="B40" s="12" t="s">
        <v>12</v>
      </c>
      <c r="C40" s="13" t="s">
        <v>13</v>
      </c>
      <c r="D40" s="13" t="s">
        <v>14</v>
      </c>
      <c r="E40" s="2">
        <f t="shared" si="0"/>
        <v>29</v>
      </c>
      <c r="F40" s="2">
        <v>1997</v>
      </c>
      <c r="G40" s="3" t="s">
        <v>13</v>
      </c>
    </row>
    <row r="41" spans="1:7" ht="15.75" customHeight="1" x14ac:dyDescent="0.25">
      <c r="A41" s="11" t="s">
        <v>67</v>
      </c>
      <c r="B41" s="12" t="s">
        <v>12</v>
      </c>
      <c r="C41" s="13" t="s">
        <v>68</v>
      </c>
      <c r="D41" s="13" t="s">
        <v>3</v>
      </c>
      <c r="E41" s="2">
        <f t="shared" si="0"/>
        <v>43</v>
      </c>
      <c r="F41" s="2">
        <v>1983</v>
      </c>
      <c r="G41" s="3" t="s">
        <v>68</v>
      </c>
    </row>
    <row r="42" spans="1:7" ht="15.75" customHeight="1" x14ac:dyDescent="0.25">
      <c r="A42" s="11" t="s">
        <v>69</v>
      </c>
      <c r="B42" s="12" t="s">
        <v>12</v>
      </c>
      <c r="C42" s="13" t="s">
        <v>70</v>
      </c>
      <c r="D42" s="13" t="s">
        <v>32</v>
      </c>
      <c r="E42" s="2">
        <f t="shared" si="0"/>
        <v>62</v>
      </c>
      <c r="F42" s="2">
        <v>1964</v>
      </c>
      <c r="G42" s="3" t="s">
        <v>70</v>
      </c>
    </row>
    <row r="43" spans="1:7" ht="15.75" customHeight="1" x14ac:dyDescent="0.25">
      <c r="A43" s="11" t="s">
        <v>71</v>
      </c>
      <c r="B43" s="12" t="s">
        <v>12</v>
      </c>
      <c r="C43" s="13" t="s">
        <v>68</v>
      </c>
      <c r="D43" s="13" t="s">
        <v>14</v>
      </c>
      <c r="E43" s="2">
        <f t="shared" si="0"/>
        <v>53</v>
      </c>
      <c r="F43" s="2">
        <v>1973</v>
      </c>
      <c r="G43" s="3" t="s">
        <v>68</v>
      </c>
    </row>
    <row r="44" spans="1:7" ht="15.75" customHeight="1" x14ac:dyDescent="0.25">
      <c r="A44" s="11" t="s">
        <v>72</v>
      </c>
      <c r="B44" s="12" t="s">
        <v>12</v>
      </c>
      <c r="C44" s="13" t="s">
        <v>37</v>
      </c>
      <c r="D44" s="13" t="s">
        <v>32</v>
      </c>
      <c r="E44" s="2">
        <f t="shared" si="0"/>
        <v>52</v>
      </c>
      <c r="F44" s="2">
        <v>1974</v>
      </c>
      <c r="G44" s="3" t="s">
        <v>37</v>
      </c>
    </row>
    <row r="45" spans="1:7" ht="15.75" customHeight="1" x14ac:dyDescent="0.25">
      <c r="A45" s="11" t="s">
        <v>73</v>
      </c>
      <c r="B45" s="12" t="s">
        <v>12</v>
      </c>
      <c r="C45" s="13" t="s">
        <v>18</v>
      </c>
      <c r="D45" s="13" t="s">
        <v>32</v>
      </c>
      <c r="E45" s="2">
        <f t="shared" si="0"/>
        <v>41</v>
      </c>
      <c r="F45" s="2">
        <v>1985</v>
      </c>
      <c r="G45" s="3" t="s">
        <v>18</v>
      </c>
    </row>
    <row r="46" spans="1:7" ht="15.75" customHeight="1" x14ac:dyDescent="0.25">
      <c r="A46" s="11" t="s">
        <v>74</v>
      </c>
      <c r="B46" s="12" t="s">
        <v>12</v>
      </c>
      <c r="C46" s="13" t="s">
        <v>68</v>
      </c>
      <c r="D46" s="13" t="s">
        <v>32</v>
      </c>
      <c r="E46" s="2">
        <f t="shared" si="0"/>
        <v>63</v>
      </c>
      <c r="F46" s="2">
        <v>1963</v>
      </c>
      <c r="G46" s="3" t="s">
        <v>68</v>
      </c>
    </row>
    <row r="47" spans="1:7" ht="15.75" customHeight="1" x14ac:dyDescent="0.25">
      <c r="A47" s="11" t="s">
        <v>75</v>
      </c>
      <c r="B47" s="14" t="s">
        <v>17</v>
      </c>
      <c r="C47" s="13" t="s">
        <v>51</v>
      </c>
      <c r="D47" s="13" t="s">
        <v>14</v>
      </c>
      <c r="E47" s="2">
        <f t="shared" si="0"/>
        <v>50</v>
      </c>
      <c r="F47" s="2">
        <v>1976</v>
      </c>
      <c r="G47" s="3" t="s">
        <v>51</v>
      </c>
    </row>
    <row r="48" spans="1:7" ht="15.75" customHeight="1" x14ac:dyDescent="0.25">
      <c r="A48" s="11" t="s">
        <v>76</v>
      </c>
      <c r="B48" s="12" t="s">
        <v>12</v>
      </c>
      <c r="C48" s="13" t="s">
        <v>18</v>
      </c>
      <c r="D48" s="13" t="s">
        <v>3</v>
      </c>
      <c r="E48" s="2">
        <f t="shared" si="0"/>
        <v>49</v>
      </c>
      <c r="F48" s="2">
        <v>1977</v>
      </c>
      <c r="G48" s="3" t="s">
        <v>18</v>
      </c>
    </row>
    <row r="49" spans="1:7" ht="15.75" customHeight="1" x14ac:dyDescent="0.25">
      <c r="A49" s="11" t="s">
        <v>77</v>
      </c>
      <c r="B49" s="14" t="s">
        <v>17</v>
      </c>
      <c r="C49" s="13" t="s">
        <v>37</v>
      </c>
      <c r="D49" s="13" t="s">
        <v>32</v>
      </c>
      <c r="E49" s="2">
        <f t="shared" si="0"/>
        <v>31</v>
      </c>
      <c r="F49" s="2">
        <v>1995</v>
      </c>
      <c r="G49" s="3" t="s">
        <v>37</v>
      </c>
    </row>
    <row r="50" spans="1:7" ht="15.75" customHeight="1" x14ac:dyDescent="0.25">
      <c r="A50" s="11" t="s">
        <v>78</v>
      </c>
      <c r="B50" s="14" t="s">
        <v>17</v>
      </c>
      <c r="C50" s="13" t="s">
        <v>21</v>
      </c>
      <c r="D50" s="13" t="s">
        <v>3</v>
      </c>
      <c r="E50" s="2">
        <f t="shared" si="0"/>
        <v>47</v>
      </c>
      <c r="F50" s="2">
        <v>1979</v>
      </c>
      <c r="G50" s="3" t="s">
        <v>21</v>
      </c>
    </row>
    <row r="51" spans="1:7" ht="15.75" customHeight="1" x14ac:dyDescent="0.25">
      <c r="A51" s="11" t="s">
        <v>79</v>
      </c>
      <c r="B51" s="14" t="s">
        <v>17</v>
      </c>
      <c r="C51" s="13" t="s">
        <v>18</v>
      </c>
      <c r="D51" s="13" t="s">
        <v>32</v>
      </c>
      <c r="E51" s="2">
        <f t="shared" si="0"/>
        <v>77</v>
      </c>
      <c r="F51" s="2">
        <v>1949</v>
      </c>
      <c r="G51" s="3" t="s">
        <v>18</v>
      </c>
    </row>
    <row r="52" spans="1:7" ht="15.75" customHeight="1" x14ac:dyDescent="0.25">
      <c r="A52" s="11" t="s">
        <v>80</v>
      </c>
      <c r="B52" s="12" t="s">
        <v>12</v>
      </c>
      <c r="C52" s="13" t="s">
        <v>15</v>
      </c>
      <c r="D52" s="13" t="s">
        <v>14</v>
      </c>
      <c r="E52" s="2">
        <f t="shared" si="0"/>
        <v>46</v>
      </c>
      <c r="F52" s="2">
        <v>1980</v>
      </c>
      <c r="G52" s="3" t="s">
        <v>15</v>
      </c>
    </row>
    <row r="53" spans="1:7" ht="15.75" customHeight="1" x14ac:dyDescent="0.25">
      <c r="A53" s="11" t="s">
        <v>81</v>
      </c>
      <c r="B53" s="14" t="s">
        <v>17</v>
      </c>
      <c r="C53" s="13" t="s">
        <v>21</v>
      </c>
      <c r="D53" s="13" t="s">
        <v>3</v>
      </c>
      <c r="E53" s="2">
        <f t="shared" si="0"/>
        <v>54</v>
      </c>
      <c r="F53" s="2">
        <v>1972</v>
      </c>
      <c r="G53" s="3" t="s">
        <v>21</v>
      </c>
    </row>
    <row r="54" spans="1:7" ht="15.75" customHeight="1" x14ac:dyDescent="0.25">
      <c r="A54" s="11" t="s">
        <v>82</v>
      </c>
      <c r="B54" s="14" t="s">
        <v>17</v>
      </c>
      <c r="C54" s="13" t="s">
        <v>18</v>
      </c>
      <c r="D54" s="13" t="s">
        <v>3</v>
      </c>
      <c r="E54" s="2">
        <f t="shared" si="0"/>
        <v>52</v>
      </c>
      <c r="F54" s="2">
        <v>1974</v>
      </c>
      <c r="G54" s="3" t="s">
        <v>18</v>
      </c>
    </row>
    <row r="55" spans="1:7" ht="15.75" customHeight="1" x14ac:dyDescent="0.25">
      <c r="A55" s="11" t="s">
        <v>83</v>
      </c>
      <c r="B55" s="12" t="s">
        <v>12</v>
      </c>
      <c r="C55" s="13" t="s">
        <v>84</v>
      </c>
      <c r="D55" s="13" t="s">
        <v>32</v>
      </c>
      <c r="E55" s="2">
        <f t="shared" si="0"/>
        <v>68</v>
      </c>
      <c r="F55" s="2">
        <v>1958</v>
      </c>
      <c r="G55" s="3" t="s">
        <v>84</v>
      </c>
    </row>
    <row r="56" spans="1:7" ht="15.75" customHeight="1" x14ac:dyDescent="0.25">
      <c r="A56" s="11" t="s">
        <v>85</v>
      </c>
      <c r="B56" s="14" t="s">
        <v>17</v>
      </c>
      <c r="C56" s="13" t="s">
        <v>34</v>
      </c>
      <c r="D56" s="13" t="s">
        <v>32</v>
      </c>
      <c r="E56" s="2">
        <f t="shared" si="0"/>
        <v>66</v>
      </c>
      <c r="F56" s="2">
        <v>1960</v>
      </c>
      <c r="G56" s="3" t="s">
        <v>34</v>
      </c>
    </row>
    <row r="57" spans="1:7" ht="15.75" customHeight="1" x14ac:dyDescent="0.25">
      <c r="A57" s="11" t="s">
        <v>86</v>
      </c>
      <c r="B57" s="14" t="s">
        <v>17</v>
      </c>
      <c r="C57" s="13" t="s">
        <v>87</v>
      </c>
      <c r="D57" s="13" t="s">
        <v>3</v>
      </c>
      <c r="E57" s="2">
        <f t="shared" si="0"/>
        <v>61</v>
      </c>
      <c r="F57" s="2">
        <v>1965</v>
      </c>
      <c r="G57" s="3" t="s">
        <v>87</v>
      </c>
    </row>
    <row r="58" spans="1:7" ht="15.75" customHeight="1" x14ac:dyDescent="0.25">
      <c r="A58" s="11" t="s">
        <v>88</v>
      </c>
      <c r="B58" s="14" t="s">
        <v>17</v>
      </c>
      <c r="C58" s="13" t="s">
        <v>89</v>
      </c>
      <c r="D58" s="13" t="s">
        <v>3</v>
      </c>
      <c r="E58" s="2">
        <f t="shared" si="0"/>
        <v>54</v>
      </c>
      <c r="F58" s="2">
        <v>1972</v>
      </c>
      <c r="G58" s="3" t="s">
        <v>89</v>
      </c>
    </row>
    <row r="59" spans="1:7" ht="15.75" customHeight="1" x14ac:dyDescent="0.25">
      <c r="A59" s="11" t="s">
        <v>90</v>
      </c>
      <c r="B59" s="12" t="s">
        <v>12</v>
      </c>
      <c r="C59" s="13" t="s">
        <v>61</v>
      </c>
      <c r="D59" s="13" t="s">
        <v>8</v>
      </c>
      <c r="E59" s="2">
        <f t="shared" si="0"/>
        <v>64</v>
      </c>
      <c r="F59" s="2">
        <v>1962</v>
      </c>
      <c r="G59" s="3" t="s">
        <v>61</v>
      </c>
    </row>
    <row r="60" spans="1:7" ht="15.75" customHeight="1" x14ac:dyDescent="0.25">
      <c r="A60" s="11" t="s">
        <v>91</v>
      </c>
      <c r="B60" s="12" t="s">
        <v>12</v>
      </c>
      <c r="C60" s="13" t="s">
        <v>68</v>
      </c>
      <c r="D60" s="13" t="s">
        <v>3</v>
      </c>
      <c r="E60" s="2">
        <f t="shared" si="0"/>
        <v>27</v>
      </c>
      <c r="F60" s="2">
        <v>1999</v>
      </c>
      <c r="G60" s="3" t="s">
        <v>68</v>
      </c>
    </row>
    <row r="61" spans="1:7" ht="15.75" customHeight="1" x14ac:dyDescent="0.25">
      <c r="A61" s="11" t="s">
        <v>92</v>
      </c>
      <c r="B61" s="12" t="s">
        <v>12</v>
      </c>
      <c r="C61" s="13" t="s">
        <v>37</v>
      </c>
      <c r="D61" s="13" t="s">
        <v>3</v>
      </c>
      <c r="E61" s="2">
        <f t="shared" si="0"/>
        <v>47</v>
      </c>
      <c r="F61" s="2">
        <v>1979</v>
      </c>
      <c r="G61" s="3" t="s">
        <v>37</v>
      </c>
    </row>
    <row r="62" spans="1:7" ht="15.75" customHeight="1" x14ac:dyDescent="0.25">
      <c r="A62" s="11" t="s">
        <v>93</v>
      </c>
      <c r="B62" s="12" t="s">
        <v>12</v>
      </c>
      <c r="C62" s="13" t="s">
        <v>21</v>
      </c>
      <c r="D62" s="13" t="s">
        <v>8</v>
      </c>
      <c r="E62" s="2">
        <f t="shared" si="0"/>
        <v>77</v>
      </c>
      <c r="F62" s="2">
        <v>1949</v>
      </c>
      <c r="G62" s="3" t="s">
        <v>21</v>
      </c>
    </row>
    <row r="63" spans="1:7" ht="15.75" customHeight="1" x14ac:dyDescent="0.25">
      <c r="A63" s="11" t="s">
        <v>94</v>
      </c>
      <c r="B63" s="12" t="s">
        <v>12</v>
      </c>
      <c r="C63" s="13" t="s">
        <v>21</v>
      </c>
      <c r="D63" s="13" t="s">
        <v>3</v>
      </c>
      <c r="E63" s="2">
        <f t="shared" si="0"/>
        <v>38</v>
      </c>
      <c r="F63" s="2">
        <v>1988</v>
      </c>
      <c r="G63" s="3" t="s">
        <v>21</v>
      </c>
    </row>
    <row r="64" spans="1:7" ht="15.75" customHeight="1" x14ac:dyDescent="0.25">
      <c r="A64" s="11" t="s">
        <v>95</v>
      </c>
      <c r="B64" s="12" t="s">
        <v>12</v>
      </c>
      <c r="C64" s="13" t="s">
        <v>21</v>
      </c>
      <c r="D64" s="13" t="s">
        <v>96</v>
      </c>
      <c r="E64" s="2">
        <f t="shared" si="0"/>
        <v>37</v>
      </c>
      <c r="F64" s="2">
        <v>1989</v>
      </c>
      <c r="G64" s="3" t="s">
        <v>21</v>
      </c>
    </row>
    <row r="65" spans="1:7" ht="15.75" customHeight="1" x14ac:dyDescent="0.25">
      <c r="A65" s="11" t="s">
        <v>97</v>
      </c>
      <c r="B65" s="12" t="s">
        <v>12</v>
      </c>
      <c r="C65" s="13" t="s">
        <v>21</v>
      </c>
      <c r="D65" s="13" t="s">
        <v>32</v>
      </c>
      <c r="E65" s="2">
        <f t="shared" si="0"/>
        <v>61</v>
      </c>
      <c r="F65" s="2">
        <v>1965</v>
      </c>
      <c r="G65" s="3" t="s">
        <v>21</v>
      </c>
    </row>
    <row r="66" spans="1:7" ht="15.75" customHeight="1" x14ac:dyDescent="0.25">
      <c r="A66" s="11" t="s">
        <v>98</v>
      </c>
      <c r="B66" s="14" t="s">
        <v>17</v>
      </c>
      <c r="C66" s="13" t="s">
        <v>26</v>
      </c>
      <c r="D66" s="13" t="s">
        <v>8</v>
      </c>
      <c r="E66" s="2">
        <f t="shared" si="0"/>
        <v>57</v>
      </c>
      <c r="F66" s="2">
        <v>1969</v>
      </c>
      <c r="G66" s="3" t="s">
        <v>26</v>
      </c>
    </row>
    <row r="67" spans="1:7" ht="15.75" customHeight="1" x14ac:dyDescent="0.25">
      <c r="A67" s="11" t="s">
        <v>4</v>
      </c>
      <c r="B67" s="12" t="s">
        <v>12</v>
      </c>
      <c r="C67" s="13" t="s">
        <v>18</v>
      </c>
      <c r="D67" s="13" t="s">
        <v>5</v>
      </c>
      <c r="E67" s="2">
        <f t="shared" si="0"/>
        <v>55</v>
      </c>
      <c r="F67" s="2">
        <v>1971</v>
      </c>
      <c r="G67" s="3" t="s">
        <v>18</v>
      </c>
    </row>
    <row r="68" spans="1:7" ht="15.75" customHeight="1" x14ac:dyDescent="0.25">
      <c r="A68" s="11" t="s">
        <v>99</v>
      </c>
      <c r="B68" s="14" t="s">
        <v>17</v>
      </c>
      <c r="C68" s="13" t="s">
        <v>61</v>
      </c>
      <c r="D68" s="13" t="s">
        <v>32</v>
      </c>
      <c r="E68" s="2">
        <f t="shared" ref="E68:E131" si="1">2026-F68</f>
        <v>45</v>
      </c>
      <c r="F68" s="2">
        <v>1981</v>
      </c>
      <c r="G68" s="3" t="s">
        <v>61</v>
      </c>
    </row>
    <row r="69" spans="1:7" ht="15.75" customHeight="1" x14ac:dyDescent="0.25">
      <c r="A69" s="11" t="s">
        <v>100</v>
      </c>
      <c r="B69" s="14" t="s">
        <v>17</v>
      </c>
      <c r="C69" s="13" t="s">
        <v>13</v>
      </c>
      <c r="D69" s="13" t="s">
        <v>3</v>
      </c>
      <c r="E69" s="2">
        <f t="shared" si="1"/>
        <v>58</v>
      </c>
      <c r="F69" s="2">
        <v>1968</v>
      </c>
      <c r="G69" s="3" t="s">
        <v>13</v>
      </c>
    </row>
    <row r="70" spans="1:7" ht="15.75" customHeight="1" x14ac:dyDescent="0.25">
      <c r="A70" s="11" t="s">
        <v>101</v>
      </c>
      <c r="B70" s="14" t="s">
        <v>17</v>
      </c>
      <c r="C70" s="13" t="s">
        <v>89</v>
      </c>
      <c r="D70" s="13" t="s">
        <v>102</v>
      </c>
      <c r="E70" s="2">
        <f t="shared" si="1"/>
        <v>62</v>
      </c>
      <c r="F70" s="2">
        <v>1964</v>
      </c>
      <c r="G70" s="3" t="s">
        <v>89</v>
      </c>
    </row>
    <row r="71" spans="1:7" ht="15.75" customHeight="1" x14ac:dyDescent="0.25">
      <c r="A71" s="11" t="s">
        <v>103</v>
      </c>
      <c r="B71" s="14" t="s">
        <v>17</v>
      </c>
      <c r="C71" s="13" t="s">
        <v>13</v>
      </c>
      <c r="D71" s="13" t="s">
        <v>8</v>
      </c>
      <c r="E71" s="2">
        <f t="shared" si="1"/>
        <v>60</v>
      </c>
      <c r="F71" s="2">
        <v>1966</v>
      </c>
      <c r="G71" s="3" t="s">
        <v>13</v>
      </c>
    </row>
    <row r="72" spans="1:7" ht="15.75" customHeight="1" x14ac:dyDescent="0.25">
      <c r="A72" s="11" t="s">
        <v>104</v>
      </c>
      <c r="B72" s="12" t="s">
        <v>12</v>
      </c>
      <c r="C72" s="13" t="s">
        <v>31</v>
      </c>
      <c r="D72" s="13" t="s">
        <v>3</v>
      </c>
      <c r="E72" s="2">
        <f t="shared" si="1"/>
        <v>48</v>
      </c>
      <c r="F72" s="2">
        <v>1978</v>
      </c>
      <c r="G72" s="3" t="s">
        <v>31</v>
      </c>
    </row>
    <row r="73" spans="1:7" ht="15.75" customHeight="1" x14ac:dyDescent="0.25">
      <c r="A73" s="11" t="s">
        <v>105</v>
      </c>
      <c r="B73" s="14" t="s">
        <v>17</v>
      </c>
      <c r="C73" s="13" t="s">
        <v>18</v>
      </c>
      <c r="D73" s="13" t="s">
        <v>8</v>
      </c>
      <c r="E73" s="2">
        <f t="shared" si="1"/>
        <v>52</v>
      </c>
      <c r="F73" s="2">
        <v>1974</v>
      </c>
      <c r="G73" s="3" t="s">
        <v>18</v>
      </c>
    </row>
    <row r="74" spans="1:7" ht="15.75" customHeight="1" x14ac:dyDescent="0.25">
      <c r="A74" s="11" t="s">
        <v>106</v>
      </c>
      <c r="B74" s="14" t="s">
        <v>17</v>
      </c>
      <c r="C74" s="13" t="s">
        <v>107</v>
      </c>
      <c r="D74" s="13" t="s">
        <v>8</v>
      </c>
      <c r="E74" s="2">
        <f t="shared" si="1"/>
        <v>46</v>
      </c>
      <c r="F74" s="2">
        <v>1980</v>
      </c>
      <c r="G74" s="3" t="s">
        <v>107</v>
      </c>
    </row>
    <row r="75" spans="1:7" ht="15.75" customHeight="1" x14ac:dyDescent="0.25">
      <c r="A75" s="11" t="s">
        <v>108</v>
      </c>
      <c r="B75" s="14" t="s">
        <v>17</v>
      </c>
      <c r="C75" s="13" t="s">
        <v>89</v>
      </c>
      <c r="D75" s="13" t="s">
        <v>32</v>
      </c>
      <c r="E75" s="2">
        <f t="shared" si="1"/>
        <v>46</v>
      </c>
      <c r="F75" s="2">
        <v>1980</v>
      </c>
      <c r="G75" s="3" t="s">
        <v>89</v>
      </c>
    </row>
    <row r="76" spans="1:7" ht="15.75" customHeight="1" x14ac:dyDescent="0.25">
      <c r="A76" s="11" t="s">
        <v>109</v>
      </c>
      <c r="B76" s="14" t="s">
        <v>17</v>
      </c>
      <c r="C76" s="13" t="s">
        <v>21</v>
      </c>
      <c r="D76" s="13" t="s">
        <v>8</v>
      </c>
      <c r="E76" s="2">
        <f t="shared" si="1"/>
        <v>74</v>
      </c>
      <c r="F76" s="2">
        <v>1952</v>
      </c>
      <c r="G76" s="3" t="s">
        <v>21</v>
      </c>
    </row>
    <row r="77" spans="1:7" ht="15.75" customHeight="1" x14ac:dyDescent="0.25">
      <c r="A77" s="11" t="s">
        <v>110</v>
      </c>
      <c r="B77" s="14" t="s">
        <v>17</v>
      </c>
      <c r="C77" s="13" t="s">
        <v>31</v>
      </c>
      <c r="D77" s="13" t="s">
        <v>8</v>
      </c>
      <c r="E77" s="2">
        <f t="shared" si="1"/>
        <v>67</v>
      </c>
      <c r="F77" s="2">
        <v>1959</v>
      </c>
      <c r="G77" s="3" t="s">
        <v>31</v>
      </c>
    </row>
    <row r="78" spans="1:7" ht="15.75" customHeight="1" x14ac:dyDescent="0.25">
      <c r="A78" s="11" t="s">
        <v>111</v>
      </c>
      <c r="B78" s="14" t="s">
        <v>17</v>
      </c>
      <c r="C78" s="13" t="s">
        <v>18</v>
      </c>
      <c r="D78" s="13" t="s">
        <v>8</v>
      </c>
      <c r="E78" s="2">
        <f t="shared" si="1"/>
        <v>33</v>
      </c>
      <c r="F78" s="2">
        <v>1993</v>
      </c>
      <c r="G78" s="3" t="s">
        <v>18</v>
      </c>
    </row>
    <row r="79" spans="1:7" ht="15.75" customHeight="1" x14ac:dyDescent="0.25">
      <c r="A79" s="11" t="s">
        <v>112</v>
      </c>
      <c r="B79" s="14" t="s">
        <v>17</v>
      </c>
      <c r="C79" s="13" t="s">
        <v>21</v>
      </c>
      <c r="D79" s="13" t="s">
        <v>3</v>
      </c>
      <c r="E79" s="2">
        <f t="shared" si="1"/>
        <v>40</v>
      </c>
      <c r="F79" s="2">
        <v>1986</v>
      </c>
      <c r="G79" s="3" t="s">
        <v>21</v>
      </c>
    </row>
    <row r="80" spans="1:7" ht="15.75" customHeight="1" x14ac:dyDescent="0.25">
      <c r="A80" s="11" t="s">
        <v>113</v>
      </c>
      <c r="B80" s="12" t="s">
        <v>12</v>
      </c>
      <c r="C80" s="13" t="s">
        <v>18</v>
      </c>
      <c r="D80" s="13" t="s">
        <v>8</v>
      </c>
      <c r="E80" s="2">
        <f t="shared" si="1"/>
        <v>58</v>
      </c>
      <c r="F80" s="2">
        <v>1968</v>
      </c>
      <c r="G80" s="3" t="s">
        <v>18</v>
      </c>
    </row>
    <row r="81" spans="1:7" ht="15.75" customHeight="1" x14ac:dyDescent="0.25">
      <c r="A81" s="11" t="s">
        <v>114</v>
      </c>
      <c r="B81" s="14" t="s">
        <v>17</v>
      </c>
      <c r="C81" s="13" t="s">
        <v>18</v>
      </c>
      <c r="D81" s="13" t="s">
        <v>8</v>
      </c>
      <c r="E81" s="2">
        <f t="shared" si="1"/>
        <v>55</v>
      </c>
      <c r="F81" s="2">
        <v>1971</v>
      </c>
      <c r="G81" s="3" t="s">
        <v>18</v>
      </c>
    </row>
    <row r="82" spans="1:7" ht="15.75" customHeight="1" x14ac:dyDescent="0.25">
      <c r="A82" s="11" t="s">
        <v>115</v>
      </c>
      <c r="B82" s="14" t="s">
        <v>17</v>
      </c>
      <c r="C82" s="13" t="s">
        <v>21</v>
      </c>
      <c r="D82" s="13" t="s">
        <v>8</v>
      </c>
      <c r="E82" s="2">
        <f t="shared" si="1"/>
        <v>46</v>
      </c>
      <c r="F82" s="2">
        <v>1980</v>
      </c>
      <c r="G82" s="3" t="s">
        <v>21</v>
      </c>
    </row>
    <row r="83" spans="1:7" ht="15.75" customHeight="1" x14ac:dyDescent="0.25">
      <c r="A83" s="11" t="s">
        <v>116</v>
      </c>
      <c r="B83" s="14" t="s">
        <v>17</v>
      </c>
      <c r="C83" s="13" t="s">
        <v>117</v>
      </c>
      <c r="D83" s="13" t="s">
        <v>8</v>
      </c>
      <c r="E83" s="2">
        <f t="shared" si="1"/>
        <v>46</v>
      </c>
      <c r="F83" s="2">
        <v>1980</v>
      </c>
      <c r="G83" s="3" t="s">
        <v>117</v>
      </c>
    </row>
    <row r="84" spans="1:7" ht="15.75" customHeight="1" x14ac:dyDescent="0.25">
      <c r="A84" s="11" t="s">
        <v>118</v>
      </c>
      <c r="B84" s="12" t="s">
        <v>12</v>
      </c>
      <c r="C84" s="13" t="s">
        <v>13</v>
      </c>
      <c r="D84" s="13" t="s">
        <v>8</v>
      </c>
      <c r="E84" s="2">
        <f t="shared" si="1"/>
        <v>49</v>
      </c>
      <c r="F84" s="2">
        <v>1977</v>
      </c>
      <c r="G84" s="3" t="s">
        <v>13</v>
      </c>
    </row>
    <row r="85" spans="1:7" ht="15.75" customHeight="1" x14ac:dyDescent="0.25">
      <c r="A85" s="11" t="s">
        <v>119</v>
      </c>
      <c r="B85" s="14" t="s">
        <v>17</v>
      </c>
      <c r="C85" s="13" t="s">
        <v>120</v>
      </c>
      <c r="D85" s="13" t="s">
        <v>8</v>
      </c>
      <c r="E85" s="2">
        <f t="shared" si="1"/>
        <v>59</v>
      </c>
      <c r="F85" s="2">
        <v>1967</v>
      </c>
      <c r="G85" s="3" t="s">
        <v>120</v>
      </c>
    </row>
    <row r="86" spans="1:7" ht="15.75" customHeight="1" x14ac:dyDescent="0.25">
      <c r="A86" s="11" t="s">
        <v>121</v>
      </c>
      <c r="B86" s="14" t="s">
        <v>17</v>
      </c>
      <c r="C86" s="13" t="s">
        <v>61</v>
      </c>
      <c r="D86" s="13" t="s">
        <v>3</v>
      </c>
      <c r="E86" s="2">
        <f t="shared" si="1"/>
        <v>46</v>
      </c>
      <c r="F86" s="2">
        <v>1980</v>
      </c>
      <c r="G86" s="3" t="s">
        <v>61</v>
      </c>
    </row>
    <row r="87" spans="1:7" ht="15.75" customHeight="1" x14ac:dyDescent="0.25">
      <c r="A87" s="11" t="s">
        <v>122</v>
      </c>
      <c r="B87" s="14" t="s">
        <v>17</v>
      </c>
      <c r="C87" s="13" t="s">
        <v>18</v>
      </c>
      <c r="D87" s="13" t="s">
        <v>8</v>
      </c>
      <c r="E87" s="2">
        <f t="shared" si="1"/>
        <v>44</v>
      </c>
      <c r="F87" s="2">
        <v>1982</v>
      </c>
      <c r="G87" s="3" t="s">
        <v>18</v>
      </c>
    </row>
    <row r="88" spans="1:7" ht="15.75" customHeight="1" x14ac:dyDescent="0.25">
      <c r="A88" s="11" t="s">
        <v>123</v>
      </c>
      <c r="B88" s="12" t="s">
        <v>12</v>
      </c>
      <c r="C88" s="13" t="s">
        <v>70</v>
      </c>
      <c r="D88" s="13" t="s">
        <v>3</v>
      </c>
      <c r="E88" s="2">
        <f t="shared" si="1"/>
        <v>43</v>
      </c>
      <c r="F88" s="2">
        <v>1983</v>
      </c>
      <c r="G88" s="3" t="s">
        <v>70</v>
      </c>
    </row>
    <row r="89" spans="1:7" ht="15.75" customHeight="1" x14ac:dyDescent="0.25">
      <c r="A89" s="11" t="s">
        <v>124</v>
      </c>
      <c r="B89" s="12" t="s">
        <v>12</v>
      </c>
      <c r="C89" s="13" t="s">
        <v>13</v>
      </c>
      <c r="D89" s="13" t="s">
        <v>3</v>
      </c>
      <c r="E89" s="2">
        <f t="shared" si="1"/>
        <v>44</v>
      </c>
      <c r="F89" s="2">
        <v>1982</v>
      </c>
      <c r="G89" s="3" t="s">
        <v>13</v>
      </c>
    </row>
    <row r="90" spans="1:7" ht="15.75" customHeight="1" x14ac:dyDescent="0.25">
      <c r="A90" s="11" t="s">
        <v>125</v>
      </c>
      <c r="B90" s="12" t="s">
        <v>12</v>
      </c>
      <c r="C90" s="13" t="s">
        <v>68</v>
      </c>
      <c r="D90" s="13" t="s">
        <v>8</v>
      </c>
      <c r="E90" s="2">
        <f t="shared" si="1"/>
        <v>52</v>
      </c>
      <c r="F90" s="2">
        <v>1974</v>
      </c>
      <c r="G90" s="3" t="s">
        <v>68</v>
      </c>
    </row>
    <row r="91" spans="1:7" ht="15.75" customHeight="1" x14ac:dyDescent="0.25">
      <c r="A91" s="11" t="s">
        <v>126</v>
      </c>
      <c r="B91" s="12" t="s">
        <v>12</v>
      </c>
      <c r="C91" s="13" t="s">
        <v>127</v>
      </c>
      <c r="D91" s="13" t="s">
        <v>8</v>
      </c>
      <c r="E91" s="2">
        <f t="shared" si="1"/>
        <v>43</v>
      </c>
      <c r="F91" s="2">
        <v>1983</v>
      </c>
      <c r="G91" s="3" t="s">
        <v>127</v>
      </c>
    </row>
    <row r="92" spans="1:7" ht="15.75" customHeight="1" x14ac:dyDescent="0.25">
      <c r="A92" s="11" t="s">
        <v>128</v>
      </c>
      <c r="B92" s="12" t="s">
        <v>12</v>
      </c>
      <c r="C92" s="13" t="s">
        <v>18</v>
      </c>
      <c r="D92" s="13" t="s">
        <v>3</v>
      </c>
      <c r="E92" s="2">
        <f t="shared" si="1"/>
        <v>53</v>
      </c>
      <c r="F92" s="2">
        <v>1973</v>
      </c>
      <c r="G92" s="3" t="s">
        <v>18</v>
      </c>
    </row>
    <row r="93" spans="1:7" ht="15.75" customHeight="1" x14ac:dyDescent="0.25">
      <c r="A93" s="11" t="s">
        <v>129</v>
      </c>
      <c r="B93" s="12" t="s">
        <v>12</v>
      </c>
      <c r="C93" s="13" t="s">
        <v>18</v>
      </c>
      <c r="D93" s="13" t="s">
        <v>32</v>
      </c>
      <c r="E93" s="2">
        <f t="shared" si="1"/>
        <v>62</v>
      </c>
      <c r="F93" s="2">
        <v>1964</v>
      </c>
      <c r="G93" s="3" t="s">
        <v>18</v>
      </c>
    </row>
    <row r="94" spans="1:7" ht="15.75" customHeight="1" x14ac:dyDescent="0.25">
      <c r="A94" s="11" t="s">
        <v>130</v>
      </c>
      <c r="B94" s="14" t="s">
        <v>17</v>
      </c>
      <c r="C94" s="13" t="s">
        <v>70</v>
      </c>
      <c r="D94" s="13" t="s">
        <v>8</v>
      </c>
      <c r="E94" s="2">
        <f t="shared" si="1"/>
        <v>61</v>
      </c>
      <c r="F94" s="2">
        <v>1965</v>
      </c>
      <c r="G94" s="3" t="s">
        <v>70</v>
      </c>
    </row>
    <row r="95" spans="1:7" ht="15.75" customHeight="1" x14ac:dyDescent="0.25">
      <c r="A95" s="11" t="s">
        <v>131</v>
      </c>
      <c r="B95" s="14" t="s">
        <v>17</v>
      </c>
      <c r="C95" s="13" t="s">
        <v>21</v>
      </c>
      <c r="D95" s="13" t="s">
        <v>132</v>
      </c>
      <c r="E95" s="2">
        <f t="shared" si="1"/>
        <v>46</v>
      </c>
      <c r="F95" s="2">
        <v>1980</v>
      </c>
      <c r="G95" s="3" t="s">
        <v>21</v>
      </c>
    </row>
    <row r="96" spans="1:7" ht="15.75" customHeight="1" x14ac:dyDescent="0.25">
      <c r="A96" s="11" t="s">
        <v>133</v>
      </c>
      <c r="B96" s="12" t="s">
        <v>12</v>
      </c>
      <c r="C96" s="13" t="s">
        <v>61</v>
      </c>
      <c r="D96" s="13" t="s">
        <v>3</v>
      </c>
      <c r="E96" s="2">
        <f t="shared" si="1"/>
        <v>54</v>
      </c>
      <c r="F96" s="2">
        <v>1972</v>
      </c>
      <c r="G96" s="3" t="s">
        <v>61</v>
      </c>
    </row>
    <row r="97" spans="1:7" ht="15.75" customHeight="1" x14ac:dyDescent="0.25">
      <c r="A97" s="11" t="s">
        <v>134</v>
      </c>
      <c r="B97" s="12" t="s">
        <v>12</v>
      </c>
      <c r="C97" s="13" t="s">
        <v>21</v>
      </c>
      <c r="D97" s="13" t="s">
        <v>3</v>
      </c>
      <c r="E97" s="2">
        <f t="shared" si="1"/>
        <v>50</v>
      </c>
      <c r="F97" s="2">
        <v>1976</v>
      </c>
      <c r="G97" s="3" t="s">
        <v>21</v>
      </c>
    </row>
    <row r="98" spans="1:7" ht="15.75" customHeight="1" x14ac:dyDescent="0.25">
      <c r="A98" s="11" t="s">
        <v>135</v>
      </c>
      <c r="B98" s="12" t="s">
        <v>12</v>
      </c>
      <c r="C98" s="13" t="s">
        <v>49</v>
      </c>
      <c r="D98" s="13" t="s">
        <v>8</v>
      </c>
      <c r="E98" s="2">
        <f t="shared" si="1"/>
        <v>52</v>
      </c>
      <c r="F98" s="2">
        <v>1974</v>
      </c>
      <c r="G98" s="3" t="s">
        <v>49</v>
      </c>
    </row>
    <row r="99" spans="1:7" ht="15.75" customHeight="1" x14ac:dyDescent="0.25">
      <c r="A99" s="11" t="s">
        <v>136</v>
      </c>
      <c r="B99" s="12" t="s">
        <v>12</v>
      </c>
      <c r="C99" s="13" t="s">
        <v>21</v>
      </c>
      <c r="D99" s="13" t="s">
        <v>5</v>
      </c>
      <c r="E99" s="2">
        <f t="shared" si="1"/>
        <v>44</v>
      </c>
      <c r="F99" s="2">
        <v>1982</v>
      </c>
      <c r="G99" s="3" t="s">
        <v>21</v>
      </c>
    </row>
    <row r="100" spans="1:7" ht="15.75" customHeight="1" x14ac:dyDescent="0.25">
      <c r="A100" s="11" t="s">
        <v>137</v>
      </c>
      <c r="B100" s="12" t="s">
        <v>12</v>
      </c>
      <c r="C100" s="13" t="s">
        <v>70</v>
      </c>
      <c r="D100" s="13" t="s">
        <v>8</v>
      </c>
      <c r="E100" s="2">
        <f t="shared" si="1"/>
        <v>60</v>
      </c>
      <c r="F100" s="2">
        <v>1966</v>
      </c>
      <c r="G100" s="3" t="s">
        <v>70</v>
      </c>
    </row>
    <row r="101" spans="1:7" ht="15.75" customHeight="1" x14ac:dyDescent="0.25">
      <c r="A101" s="11" t="s">
        <v>138</v>
      </c>
      <c r="B101" s="12" t="s">
        <v>12</v>
      </c>
      <c r="C101" s="13" t="s">
        <v>37</v>
      </c>
      <c r="D101" s="13" t="s">
        <v>42</v>
      </c>
      <c r="E101" s="2">
        <f t="shared" si="1"/>
        <v>42</v>
      </c>
      <c r="F101" s="2">
        <v>1984</v>
      </c>
      <c r="G101" s="3" t="s">
        <v>37</v>
      </c>
    </row>
    <row r="102" spans="1:7" ht="15.75" customHeight="1" x14ac:dyDescent="0.25">
      <c r="A102" s="11" t="s">
        <v>6</v>
      </c>
      <c r="B102" s="12" t="s">
        <v>12</v>
      </c>
      <c r="C102" s="13" t="s">
        <v>18</v>
      </c>
      <c r="D102" s="13" t="s">
        <v>3</v>
      </c>
      <c r="E102" s="2">
        <f t="shared" si="1"/>
        <v>63</v>
      </c>
      <c r="F102" s="2">
        <v>1963</v>
      </c>
      <c r="G102" s="3" t="s">
        <v>18</v>
      </c>
    </row>
    <row r="103" spans="1:7" ht="15.75" customHeight="1" x14ac:dyDescent="0.25">
      <c r="A103" s="11" t="s">
        <v>139</v>
      </c>
      <c r="B103" s="14" t="s">
        <v>17</v>
      </c>
      <c r="C103" s="13" t="s">
        <v>34</v>
      </c>
      <c r="D103" s="13" t="s">
        <v>8</v>
      </c>
      <c r="E103" s="2">
        <f t="shared" si="1"/>
        <v>63</v>
      </c>
      <c r="F103" s="1">
        <v>1963</v>
      </c>
      <c r="G103" s="3" t="s">
        <v>34</v>
      </c>
    </row>
    <row r="104" spans="1:7" ht="15.75" customHeight="1" x14ac:dyDescent="0.25">
      <c r="A104" s="11" t="s">
        <v>140</v>
      </c>
      <c r="B104" s="14" t="s">
        <v>17</v>
      </c>
      <c r="C104" s="13" t="s">
        <v>68</v>
      </c>
      <c r="D104" s="13" t="s">
        <v>8</v>
      </c>
      <c r="E104" s="2">
        <f t="shared" si="1"/>
        <v>52</v>
      </c>
      <c r="F104" s="1">
        <v>1974</v>
      </c>
      <c r="G104" s="3" t="s">
        <v>68</v>
      </c>
    </row>
    <row r="105" spans="1:7" ht="15.75" customHeight="1" x14ac:dyDescent="0.25">
      <c r="A105" s="11" t="s">
        <v>141</v>
      </c>
      <c r="B105" s="14" t="s">
        <v>17</v>
      </c>
      <c r="C105" s="13" t="s">
        <v>142</v>
      </c>
      <c r="D105" s="13" t="s">
        <v>32</v>
      </c>
      <c r="E105" s="2">
        <f t="shared" si="1"/>
        <v>62</v>
      </c>
      <c r="F105" s="1">
        <v>1964</v>
      </c>
      <c r="G105" s="3" t="s">
        <v>142</v>
      </c>
    </row>
    <row r="106" spans="1:7" ht="15.75" customHeight="1" x14ac:dyDescent="0.25">
      <c r="A106" s="11" t="s">
        <v>143</v>
      </c>
      <c r="B106" s="14" t="s">
        <v>17</v>
      </c>
      <c r="C106" s="13" t="s">
        <v>51</v>
      </c>
      <c r="D106" s="13" t="s">
        <v>32</v>
      </c>
      <c r="E106" s="2">
        <f t="shared" si="1"/>
        <v>39</v>
      </c>
      <c r="F106" s="4">
        <v>1987</v>
      </c>
      <c r="G106" s="3" t="s">
        <v>51</v>
      </c>
    </row>
    <row r="107" spans="1:7" ht="15.75" customHeight="1" x14ac:dyDescent="0.25">
      <c r="A107" s="11" t="s">
        <v>144</v>
      </c>
      <c r="B107" s="12" t="s">
        <v>12</v>
      </c>
      <c r="C107" s="13" t="s">
        <v>21</v>
      </c>
      <c r="D107" s="13" t="s">
        <v>8</v>
      </c>
      <c r="E107" s="2">
        <f t="shared" si="1"/>
        <v>38</v>
      </c>
      <c r="F107" s="1">
        <v>1988</v>
      </c>
      <c r="G107" s="3" t="s">
        <v>21</v>
      </c>
    </row>
    <row r="108" spans="1:7" ht="15.75" customHeight="1" x14ac:dyDescent="0.25">
      <c r="A108" s="11" t="s">
        <v>145</v>
      </c>
      <c r="B108" s="12" t="s">
        <v>12</v>
      </c>
      <c r="C108" s="13" t="s">
        <v>146</v>
      </c>
      <c r="D108" s="13" t="s">
        <v>147</v>
      </c>
      <c r="E108" s="2">
        <f t="shared" si="1"/>
        <v>42</v>
      </c>
      <c r="F108" s="4">
        <v>1984</v>
      </c>
      <c r="G108" s="3" t="s">
        <v>146</v>
      </c>
    </row>
    <row r="109" spans="1:7" ht="15.75" customHeight="1" x14ac:dyDescent="0.25">
      <c r="A109" s="11" t="s">
        <v>148</v>
      </c>
      <c r="B109" s="14" t="s">
        <v>17</v>
      </c>
      <c r="C109" s="13" t="s">
        <v>149</v>
      </c>
      <c r="D109" s="13" t="s">
        <v>32</v>
      </c>
      <c r="E109" s="2">
        <f t="shared" si="1"/>
        <v>54</v>
      </c>
      <c r="F109" s="4">
        <v>1972</v>
      </c>
      <c r="G109" s="3" t="s">
        <v>149</v>
      </c>
    </row>
    <row r="110" spans="1:7" ht="15.75" customHeight="1" x14ac:dyDescent="0.25">
      <c r="A110" s="11" t="s">
        <v>150</v>
      </c>
      <c r="B110" s="14" t="s">
        <v>17</v>
      </c>
      <c r="C110" s="13" t="s">
        <v>49</v>
      </c>
      <c r="D110" s="13" t="s">
        <v>32</v>
      </c>
      <c r="E110" s="2">
        <f t="shared" si="1"/>
        <v>39</v>
      </c>
      <c r="F110" s="4">
        <v>1987</v>
      </c>
      <c r="G110" s="3" t="s">
        <v>49</v>
      </c>
    </row>
    <row r="111" spans="1:7" ht="15.75" customHeight="1" x14ac:dyDescent="0.25">
      <c r="A111" s="11" t="s">
        <v>151</v>
      </c>
      <c r="B111" s="14" t="s">
        <v>17</v>
      </c>
      <c r="C111" s="13" t="s">
        <v>18</v>
      </c>
      <c r="D111" s="13" t="s">
        <v>3</v>
      </c>
      <c r="E111" s="2">
        <f t="shared" si="1"/>
        <v>66</v>
      </c>
      <c r="F111" s="4">
        <v>1960</v>
      </c>
      <c r="G111" s="3" t="s">
        <v>18</v>
      </c>
    </row>
    <row r="112" spans="1:7" ht="15.75" customHeight="1" x14ac:dyDescent="0.25">
      <c r="A112" s="11" t="s">
        <v>152</v>
      </c>
      <c r="B112" s="14" t="s">
        <v>17</v>
      </c>
      <c r="C112" s="13" t="s">
        <v>61</v>
      </c>
      <c r="D112" s="13" t="s">
        <v>8</v>
      </c>
      <c r="E112" s="2">
        <f t="shared" si="1"/>
        <v>36</v>
      </c>
      <c r="F112" s="4">
        <v>1990</v>
      </c>
      <c r="G112" s="3" t="s">
        <v>61</v>
      </c>
    </row>
    <row r="113" spans="1:7" ht="15.75" customHeight="1" x14ac:dyDescent="0.25">
      <c r="A113" s="11" t="s">
        <v>153</v>
      </c>
      <c r="B113" s="14" t="s">
        <v>17</v>
      </c>
      <c r="C113" s="13" t="s">
        <v>154</v>
      </c>
      <c r="D113" s="13" t="s">
        <v>32</v>
      </c>
      <c r="E113" s="2">
        <f t="shared" si="1"/>
        <v>53</v>
      </c>
      <c r="F113" s="4">
        <v>1973</v>
      </c>
      <c r="G113" s="3" t="s">
        <v>154</v>
      </c>
    </row>
    <row r="114" spans="1:7" ht="15.75" customHeight="1" x14ac:dyDescent="0.25">
      <c r="A114" s="11" t="s">
        <v>155</v>
      </c>
      <c r="B114" s="14" t="s">
        <v>17</v>
      </c>
      <c r="C114" s="13" t="s">
        <v>21</v>
      </c>
      <c r="D114" s="13" t="s">
        <v>42</v>
      </c>
      <c r="E114" s="2">
        <f t="shared" si="1"/>
        <v>32</v>
      </c>
      <c r="F114" s="4">
        <v>1994</v>
      </c>
      <c r="G114" s="3" t="s">
        <v>21</v>
      </c>
    </row>
    <row r="115" spans="1:7" ht="15.75" customHeight="1" x14ac:dyDescent="0.25">
      <c r="A115" s="11" t="s">
        <v>156</v>
      </c>
      <c r="B115" s="14" t="s">
        <v>17</v>
      </c>
      <c r="C115" s="13" t="s">
        <v>18</v>
      </c>
      <c r="D115" s="13" t="s">
        <v>5</v>
      </c>
      <c r="E115" s="2">
        <f t="shared" si="1"/>
        <v>50</v>
      </c>
      <c r="F115" s="4">
        <v>1976</v>
      </c>
      <c r="G115" s="3" t="s">
        <v>18</v>
      </c>
    </row>
    <row r="116" spans="1:7" ht="15.75" customHeight="1" x14ac:dyDescent="0.25">
      <c r="A116" s="11" t="s">
        <v>157</v>
      </c>
      <c r="B116" s="14" t="s">
        <v>17</v>
      </c>
      <c r="C116" s="13" t="s">
        <v>21</v>
      </c>
      <c r="D116" s="13" t="s">
        <v>32</v>
      </c>
      <c r="E116" s="2">
        <f t="shared" si="1"/>
        <v>40</v>
      </c>
      <c r="F116" s="4">
        <v>1986</v>
      </c>
      <c r="G116" s="3" t="s">
        <v>21</v>
      </c>
    </row>
    <row r="117" spans="1:7" ht="15.75" customHeight="1" x14ac:dyDescent="0.25">
      <c r="A117" s="11" t="s">
        <v>158</v>
      </c>
      <c r="B117" s="14" t="s">
        <v>17</v>
      </c>
      <c r="C117" s="13" t="s">
        <v>18</v>
      </c>
      <c r="D117" s="13" t="s">
        <v>3</v>
      </c>
      <c r="E117" s="2">
        <f t="shared" si="1"/>
        <v>74</v>
      </c>
      <c r="F117" s="4">
        <v>1952</v>
      </c>
      <c r="G117" s="3" t="s">
        <v>18</v>
      </c>
    </row>
    <row r="118" spans="1:7" ht="15.75" customHeight="1" x14ac:dyDescent="0.25">
      <c r="A118" s="11" t="s">
        <v>159</v>
      </c>
      <c r="B118" s="14" t="s">
        <v>17</v>
      </c>
      <c r="C118" s="13" t="s">
        <v>18</v>
      </c>
      <c r="D118" s="13" t="s">
        <v>32</v>
      </c>
      <c r="E118" s="2">
        <f t="shared" si="1"/>
        <v>32</v>
      </c>
      <c r="F118" s="4">
        <v>1994</v>
      </c>
      <c r="G118" s="3" t="s">
        <v>18</v>
      </c>
    </row>
    <row r="119" spans="1:7" ht="15.75" customHeight="1" x14ac:dyDescent="0.25">
      <c r="A119" s="11" t="s">
        <v>160</v>
      </c>
      <c r="B119" s="14" t="s">
        <v>17</v>
      </c>
      <c r="C119" s="13" t="s">
        <v>161</v>
      </c>
      <c r="D119" s="13" t="s">
        <v>8</v>
      </c>
      <c r="E119" s="2">
        <f t="shared" si="1"/>
        <v>47</v>
      </c>
      <c r="F119" s="4">
        <v>1979</v>
      </c>
      <c r="G119" s="3" t="s">
        <v>161</v>
      </c>
    </row>
    <row r="120" spans="1:7" ht="15.75" customHeight="1" x14ac:dyDescent="0.25">
      <c r="A120" s="11" t="s">
        <v>162</v>
      </c>
      <c r="B120" s="14" t="s">
        <v>17</v>
      </c>
      <c r="C120" s="13" t="s">
        <v>59</v>
      </c>
      <c r="D120" s="13" t="s">
        <v>32</v>
      </c>
      <c r="E120" s="2">
        <f t="shared" si="1"/>
        <v>31</v>
      </c>
      <c r="F120" s="4">
        <v>1995</v>
      </c>
      <c r="G120" s="3" t="s">
        <v>59</v>
      </c>
    </row>
    <row r="121" spans="1:7" ht="15.75" customHeight="1" x14ac:dyDescent="0.25">
      <c r="A121" s="11" t="s">
        <v>163</v>
      </c>
      <c r="B121" s="14" t="s">
        <v>17</v>
      </c>
      <c r="C121" s="13" t="s">
        <v>70</v>
      </c>
      <c r="D121" s="13" t="s">
        <v>32</v>
      </c>
      <c r="E121" s="2">
        <f t="shared" si="1"/>
        <v>43</v>
      </c>
      <c r="F121" s="4">
        <v>1983</v>
      </c>
      <c r="G121" s="3" t="s">
        <v>70</v>
      </c>
    </row>
    <row r="122" spans="1:7" ht="15.75" customHeight="1" x14ac:dyDescent="0.25">
      <c r="A122" s="11" t="s">
        <v>164</v>
      </c>
      <c r="B122" s="14" t="s">
        <v>17</v>
      </c>
      <c r="C122" s="13" t="s">
        <v>84</v>
      </c>
      <c r="D122" s="13" t="s">
        <v>8</v>
      </c>
      <c r="E122" s="2">
        <f t="shared" si="1"/>
        <v>68</v>
      </c>
      <c r="F122" s="4">
        <v>1958</v>
      </c>
      <c r="G122" s="3" t="s">
        <v>84</v>
      </c>
    </row>
    <row r="123" spans="1:7" ht="15.75" customHeight="1" x14ac:dyDescent="0.25">
      <c r="A123" s="11" t="s">
        <v>165</v>
      </c>
      <c r="B123" s="14" t="s">
        <v>17</v>
      </c>
      <c r="C123" s="13" t="s">
        <v>61</v>
      </c>
      <c r="D123" s="13" t="s">
        <v>3</v>
      </c>
      <c r="E123" s="2">
        <f t="shared" si="1"/>
        <v>67</v>
      </c>
      <c r="F123" s="4">
        <v>1959</v>
      </c>
      <c r="G123" s="3" t="s">
        <v>61</v>
      </c>
    </row>
    <row r="124" spans="1:7" ht="15.75" customHeight="1" x14ac:dyDescent="0.25">
      <c r="A124" s="11" t="s">
        <v>166</v>
      </c>
      <c r="B124" s="14" t="s">
        <v>17</v>
      </c>
      <c r="C124" s="13" t="s">
        <v>84</v>
      </c>
      <c r="D124" s="13" t="s">
        <v>8</v>
      </c>
      <c r="E124" s="2">
        <f t="shared" si="1"/>
        <v>63</v>
      </c>
      <c r="F124" s="4">
        <v>1963</v>
      </c>
      <c r="G124" s="3" t="s">
        <v>84</v>
      </c>
    </row>
    <row r="125" spans="1:7" ht="15.75" customHeight="1" x14ac:dyDescent="0.25">
      <c r="A125" s="11" t="s">
        <v>167</v>
      </c>
      <c r="B125" s="14" t="s">
        <v>17</v>
      </c>
      <c r="C125" s="13" t="s">
        <v>120</v>
      </c>
      <c r="D125" s="13" t="s">
        <v>3</v>
      </c>
      <c r="E125" s="2">
        <f t="shared" si="1"/>
        <v>55</v>
      </c>
      <c r="F125" s="1">
        <v>1971</v>
      </c>
      <c r="G125" s="3" t="s">
        <v>120</v>
      </c>
    </row>
    <row r="126" spans="1:7" ht="15.75" customHeight="1" x14ac:dyDescent="0.25">
      <c r="A126" s="11" t="s">
        <v>168</v>
      </c>
      <c r="B126" s="14" t="s">
        <v>17</v>
      </c>
      <c r="C126" s="13" t="s">
        <v>61</v>
      </c>
      <c r="D126" s="13" t="s">
        <v>8</v>
      </c>
      <c r="E126" s="2">
        <f t="shared" si="1"/>
        <v>50</v>
      </c>
      <c r="F126" s="4">
        <v>1976</v>
      </c>
      <c r="G126" s="3" t="s">
        <v>61</v>
      </c>
    </row>
    <row r="127" spans="1:7" ht="15.75" customHeight="1" x14ac:dyDescent="0.25">
      <c r="A127" s="11" t="s">
        <v>169</v>
      </c>
      <c r="B127" s="14" t="s">
        <v>17</v>
      </c>
      <c r="C127" s="13" t="s">
        <v>149</v>
      </c>
      <c r="D127" s="13" t="s">
        <v>8</v>
      </c>
      <c r="E127" s="2">
        <f t="shared" si="1"/>
        <v>64</v>
      </c>
      <c r="F127" s="1">
        <v>1962</v>
      </c>
      <c r="G127" s="3" t="s">
        <v>149</v>
      </c>
    </row>
    <row r="128" spans="1:7" ht="15.75" customHeight="1" x14ac:dyDescent="0.25">
      <c r="A128" s="11" t="s">
        <v>170</v>
      </c>
      <c r="B128" s="14" t="s">
        <v>17</v>
      </c>
      <c r="C128" s="13" t="s">
        <v>13</v>
      </c>
      <c r="D128" s="13" t="s">
        <v>3</v>
      </c>
      <c r="E128" s="2">
        <f t="shared" si="1"/>
        <v>69</v>
      </c>
      <c r="F128" s="1">
        <v>1957</v>
      </c>
      <c r="G128" s="3" t="s">
        <v>13</v>
      </c>
    </row>
    <row r="129" spans="1:7" ht="15.75" customHeight="1" x14ac:dyDescent="0.25">
      <c r="A129" s="11" t="s">
        <v>7</v>
      </c>
      <c r="B129" s="12" t="s">
        <v>12</v>
      </c>
      <c r="C129" s="13" t="s">
        <v>21</v>
      </c>
      <c r="D129" s="13" t="s">
        <v>8</v>
      </c>
      <c r="E129" s="2">
        <f t="shared" si="1"/>
        <v>55</v>
      </c>
      <c r="F129" s="1">
        <v>1971</v>
      </c>
      <c r="G129" s="3" t="s">
        <v>21</v>
      </c>
    </row>
    <row r="130" spans="1:7" ht="15.75" customHeight="1" x14ac:dyDescent="0.25">
      <c r="A130" s="11" t="s">
        <v>171</v>
      </c>
      <c r="B130" s="14" t="s">
        <v>17</v>
      </c>
      <c r="C130" s="13" t="s">
        <v>68</v>
      </c>
      <c r="D130" s="13" t="s">
        <v>8</v>
      </c>
      <c r="E130" s="2">
        <f t="shared" si="1"/>
        <v>27</v>
      </c>
      <c r="F130" s="1">
        <v>1999</v>
      </c>
      <c r="G130" s="3" t="s">
        <v>68</v>
      </c>
    </row>
    <row r="131" spans="1:7" ht="15.75" customHeight="1" x14ac:dyDescent="0.25">
      <c r="A131" s="11" t="s">
        <v>172</v>
      </c>
      <c r="B131" s="12" t="s">
        <v>12</v>
      </c>
      <c r="C131" s="13" t="s">
        <v>61</v>
      </c>
      <c r="D131" s="13" t="s">
        <v>32</v>
      </c>
      <c r="E131" s="2">
        <f t="shared" si="1"/>
        <v>62</v>
      </c>
      <c r="F131" s="1">
        <v>1964</v>
      </c>
      <c r="G131" s="3" t="s">
        <v>61</v>
      </c>
    </row>
    <row r="132" spans="1:7" ht="15.75" customHeight="1" x14ac:dyDescent="0.25">
      <c r="A132" s="11" t="s">
        <v>173</v>
      </c>
      <c r="B132" s="12" t="s">
        <v>12</v>
      </c>
      <c r="C132" s="13" t="s">
        <v>154</v>
      </c>
      <c r="D132" s="13" t="s">
        <v>3</v>
      </c>
      <c r="E132" s="2">
        <f t="shared" ref="E132:E195" si="2">2026-F132</f>
        <v>46</v>
      </c>
      <c r="F132" s="1">
        <v>1980</v>
      </c>
      <c r="G132" s="3" t="s">
        <v>154</v>
      </c>
    </row>
    <row r="133" spans="1:7" ht="15.75" customHeight="1" x14ac:dyDescent="0.25">
      <c r="A133" s="11" t="s">
        <v>174</v>
      </c>
      <c r="B133" s="12" t="s">
        <v>12</v>
      </c>
      <c r="C133" s="13" t="s">
        <v>51</v>
      </c>
      <c r="D133" s="13" t="s">
        <v>3</v>
      </c>
      <c r="E133" s="2">
        <f t="shared" si="2"/>
        <v>1978</v>
      </c>
      <c r="F133" s="5">
        <v>48</v>
      </c>
      <c r="G133" s="3" t="s">
        <v>51</v>
      </c>
    </row>
    <row r="134" spans="1:7" ht="15.75" customHeight="1" x14ac:dyDescent="0.25">
      <c r="A134" s="11" t="s">
        <v>175</v>
      </c>
      <c r="B134" s="12" t="s">
        <v>12</v>
      </c>
      <c r="C134" s="13" t="s">
        <v>142</v>
      </c>
      <c r="D134" s="13" t="s">
        <v>3</v>
      </c>
      <c r="E134" s="2">
        <f t="shared" si="2"/>
        <v>35</v>
      </c>
      <c r="F134" s="1">
        <v>1991</v>
      </c>
      <c r="G134" s="3" t="s">
        <v>142</v>
      </c>
    </row>
    <row r="135" spans="1:7" ht="15.75" customHeight="1" x14ac:dyDescent="0.25">
      <c r="A135" s="11" t="s">
        <v>176</v>
      </c>
      <c r="B135" s="12" t="s">
        <v>12</v>
      </c>
      <c r="C135" s="13" t="s">
        <v>68</v>
      </c>
      <c r="D135" s="13" t="s">
        <v>32</v>
      </c>
      <c r="E135" s="2">
        <f t="shared" si="2"/>
        <v>34</v>
      </c>
      <c r="F135" s="1">
        <v>1992</v>
      </c>
      <c r="G135" s="3" t="s">
        <v>68</v>
      </c>
    </row>
    <row r="136" spans="1:7" ht="15.75" customHeight="1" x14ac:dyDescent="0.25">
      <c r="A136" s="11" t="s">
        <v>177</v>
      </c>
      <c r="B136" s="14" t="s">
        <v>17</v>
      </c>
      <c r="C136" s="13" t="s">
        <v>21</v>
      </c>
      <c r="D136" s="13" t="s">
        <v>32</v>
      </c>
      <c r="E136" s="2">
        <f t="shared" si="2"/>
        <v>43</v>
      </c>
      <c r="F136" s="1">
        <v>1983</v>
      </c>
      <c r="G136" s="3" t="s">
        <v>21</v>
      </c>
    </row>
    <row r="137" spans="1:7" ht="15.75" customHeight="1" x14ac:dyDescent="0.25">
      <c r="A137" s="11" t="s">
        <v>178</v>
      </c>
      <c r="B137" s="14" t="s">
        <v>17</v>
      </c>
      <c r="C137" s="13" t="s">
        <v>161</v>
      </c>
      <c r="D137" s="13" t="s">
        <v>32</v>
      </c>
      <c r="E137" s="2">
        <f t="shared" si="2"/>
        <v>48</v>
      </c>
      <c r="F137" s="1">
        <v>1978</v>
      </c>
      <c r="G137" s="3" t="s">
        <v>161</v>
      </c>
    </row>
    <row r="138" spans="1:7" ht="15.75" customHeight="1" x14ac:dyDescent="0.25">
      <c r="A138" s="11" t="s">
        <v>179</v>
      </c>
      <c r="B138" s="14" t="s">
        <v>17</v>
      </c>
      <c r="C138" s="13" t="s">
        <v>84</v>
      </c>
      <c r="D138" s="13" t="s">
        <v>8</v>
      </c>
      <c r="E138" s="2">
        <f t="shared" si="2"/>
        <v>54</v>
      </c>
      <c r="F138" s="1">
        <v>1972</v>
      </c>
      <c r="G138" s="3" t="s">
        <v>84</v>
      </c>
    </row>
    <row r="139" spans="1:7" ht="15.75" customHeight="1" x14ac:dyDescent="0.25">
      <c r="A139" s="11" t="s">
        <v>180</v>
      </c>
      <c r="B139" s="14" t="s">
        <v>17</v>
      </c>
      <c r="C139" s="13" t="s">
        <v>26</v>
      </c>
      <c r="D139" s="13" t="s">
        <v>32</v>
      </c>
      <c r="E139" s="2">
        <f t="shared" si="2"/>
        <v>50</v>
      </c>
      <c r="F139" s="1">
        <v>1976</v>
      </c>
      <c r="G139" s="3" t="s">
        <v>26</v>
      </c>
    </row>
    <row r="140" spans="1:7" ht="15.75" customHeight="1" x14ac:dyDescent="0.25">
      <c r="A140" s="11" t="s">
        <v>181</v>
      </c>
      <c r="B140" s="12" t="s">
        <v>12</v>
      </c>
      <c r="C140" s="13" t="s">
        <v>21</v>
      </c>
      <c r="D140" s="13" t="s">
        <v>8</v>
      </c>
      <c r="E140" s="2">
        <f t="shared" si="2"/>
        <v>23</v>
      </c>
      <c r="F140" s="1">
        <v>2003</v>
      </c>
      <c r="G140" s="3" t="s">
        <v>21</v>
      </c>
    </row>
    <row r="141" spans="1:7" ht="15.75" customHeight="1" x14ac:dyDescent="0.25">
      <c r="A141" s="11" t="s">
        <v>182</v>
      </c>
      <c r="B141" s="14" t="s">
        <v>17</v>
      </c>
      <c r="C141" s="13" t="s">
        <v>70</v>
      </c>
      <c r="D141" s="13" t="s">
        <v>3</v>
      </c>
      <c r="E141" s="2">
        <f t="shared" si="2"/>
        <v>62</v>
      </c>
      <c r="F141" s="4">
        <v>1964</v>
      </c>
      <c r="G141" s="3" t="s">
        <v>70</v>
      </c>
    </row>
    <row r="142" spans="1:7" ht="15.75" customHeight="1" x14ac:dyDescent="0.25">
      <c r="A142" s="11" t="s">
        <v>183</v>
      </c>
      <c r="B142" s="14" t="s">
        <v>17</v>
      </c>
      <c r="C142" s="13" t="s">
        <v>146</v>
      </c>
      <c r="D142" s="13" t="s">
        <v>32</v>
      </c>
      <c r="E142" s="2">
        <f t="shared" si="2"/>
        <v>78</v>
      </c>
      <c r="F142" s="1">
        <v>1948</v>
      </c>
      <c r="G142" s="3" t="s">
        <v>146</v>
      </c>
    </row>
    <row r="143" spans="1:7" ht="15.75" customHeight="1" x14ac:dyDescent="0.25">
      <c r="A143" s="11" t="s">
        <v>184</v>
      </c>
      <c r="B143" s="14" t="s">
        <v>17</v>
      </c>
      <c r="C143" s="13" t="s">
        <v>37</v>
      </c>
      <c r="D143" s="13" t="s">
        <v>3</v>
      </c>
      <c r="E143" s="2">
        <f t="shared" si="2"/>
        <v>43</v>
      </c>
      <c r="F143" s="1">
        <v>1983</v>
      </c>
      <c r="G143" s="3" t="s">
        <v>37</v>
      </c>
    </row>
    <row r="144" spans="1:7" ht="15.75" customHeight="1" x14ac:dyDescent="0.25">
      <c r="A144" s="11" t="s">
        <v>185</v>
      </c>
      <c r="B144" s="14" t="s">
        <v>17</v>
      </c>
      <c r="C144" s="13" t="s">
        <v>21</v>
      </c>
      <c r="D144" s="13" t="s">
        <v>8</v>
      </c>
      <c r="E144" s="2">
        <f t="shared" si="2"/>
        <v>55</v>
      </c>
      <c r="F144" s="1">
        <v>1971</v>
      </c>
      <c r="G144" s="3" t="s">
        <v>21</v>
      </c>
    </row>
    <row r="145" spans="1:7" ht="15.75" customHeight="1" x14ac:dyDescent="0.25">
      <c r="A145" s="11" t="s">
        <v>186</v>
      </c>
      <c r="B145" s="14" t="s">
        <v>17</v>
      </c>
      <c r="C145" s="13" t="s">
        <v>13</v>
      </c>
      <c r="D145" s="13" t="s">
        <v>32</v>
      </c>
      <c r="E145" s="2">
        <f t="shared" si="2"/>
        <v>47</v>
      </c>
      <c r="F145" s="1">
        <v>1979</v>
      </c>
      <c r="G145" s="3" t="s">
        <v>13</v>
      </c>
    </row>
    <row r="146" spans="1:7" ht="15.75" customHeight="1" x14ac:dyDescent="0.25">
      <c r="A146" s="11" t="s">
        <v>187</v>
      </c>
      <c r="B146" s="12" t="s">
        <v>12</v>
      </c>
      <c r="C146" s="13" t="s">
        <v>21</v>
      </c>
      <c r="D146" s="13" t="s">
        <v>42</v>
      </c>
      <c r="E146" s="2">
        <f t="shared" si="2"/>
        <v>46</v>
      </c>
      <c r="F146" s="1">
        <v>1980</v>
      </c>
      <c r="G146" s="3" t="s">
        <v>21</v>
      </c>
    </row>
    <row r="147" spans="1:7" ht="15.75" customHeight="1" x14ac:dyDescent="0.25">
      <c r="A147" s="11" t="s">
        <v>188</v>
      </c>
      <c r="B147" s="12" t="s">
        <v>12</v>
      </c>
      <c r="C147" s="13" t="s">
        <v>21</v>
      </c>
      <c r="D147" s="13" t="s">
        <v>3</v>
      </c>
      <c r="E147" s="2">
        <f t="shared" si="2"/>
        <v>74</v>
      </c>
      <c r="F147" s="1">
        <v>1952</v>
      </c>
      <c r="G147" s="3" t="s">
        <v>21</v>
      </c>
    </row>
    <row r="148" spans="1:7" ht="15.75" customHeight="1" x14ac:dyDescent="0.25">
      <c r="A148" s="11" t="s">
        <v>189</v>
      </c>
      <c r="B148" s="12" t="s">
        <v>12</v>
      </c>
      <c r="C148" s="13" t="s">
        <v>84</v>
      </c>
      <c r="D148" s="13" t="s">
        <v>3</v>
      </c>
      <c r="E148" s="2">
        <f t="shared" si="2"/>
        <v>58</v>
      </c>
      <c r="F148" s="1">
        <v>1968</v>
      </c>
      <c r="G148" s="3" t="s">
        <v>84</v>
      </c>
    </row>
    <row r="149" spans="1:7" ht="15.75" customHeight="1" x14ac:dyDescent="0.25">
      <c r="A149" s="11" t="s">
        <v>190</v>
      </c>
      <c r="B149" s="12" t="s">
        <v>12</v>
      </c>
      <c r="C149" s="13" t="s">
        <v>13</v>
      </c>
      <c r="D149" s="13" t="s">
        <v>42</v>
      </c>
      <c r="E149" s="2">
        <f t="shared" si="2"/>
        <v>60</v>
      </c>
      <c r="F149" s="1">
        <v>1966</v>
      </c>
      <c r="G149" s="3" t="s">
        <v>13</v>
      </c>
    </row>
    <row r="150" spans="1:7" ht="15.75" customHeight="1" x14ac:dyDescent="0.25">
      <c r="A150" s="11" t="s">
        <v>191</v>
      </c>
      <c r="B150" s="12" t="s">
        <v>12</v>
      </c>
      <c r="C150" s="13" t="s">
        <v>21</v>
      </c>
      <c r="D150" s="13" t="s">
        <v>32</v>
      </c>
      <c r="E150" s="2">
        <f t="shared" si="2"/>
        <v>55</v>
      </c>
      <c r="F150" s="1">
        <v>1971</v>
      </c>
      <c r="G150" s="3" t="s">
        <v>21</v>
      </c>
    </row>
    <row r="151" spans="1:7" ht="15.75" customHeight="1" x14ac:dyDescent="0.25">
      <c r="A151" s="11" t="s">
        <v>192</v>
      </c>
      <c r="B151" s="12" t="s">
        <v>12</v>
      </c>
      <c r="C151" s="13" t="s">
        <v>34</v>
      </c>
      <c r="D151" s="13" t="s">
        <v>8</v>
      </c>
      <c r="E151" s="2">
        <f t="shared" si="2"/>
        <v>63</v>
      </c>
      <c r="F151" s="1">
        <v>1963</v>
      </c>
      <c r="G151" s="3" t="s">
        <v>34</v>
      </c>
    </row>
    <row r="152" spans="1:7" ht="15.75" customHeight="1" x14ac:dyDescent="0.25">
      <c r="A152" s="11" t="s">
        <v>193</v>
      </c>
      <c r="B152" s="12" t="s">
        <v>12</v>
      </c>
      <c r="C152" s="13" t="s">
        <v>34</v>
      </c>
      <c r="D152" s="13" t="s">
        <v>8</v>
      </c>
      <c r="E152" s="2">
        <f t="shared" si="2"/>
        <v>64</v>
      </c>
      <c r="F152" s="1">
        <v>1962</v>
      </c>
      <c r="G152" s="3" t="s">
        <v>34</v>
      </c>
    </row>
    <row r="153" spans="1:7" ht="15.75" customHeight="1" x14ac:dyDescent="0.25">
      <c r="A153" s="11" t="s">
        <v>194</v>
      </c>
      <c r="B153" s="12" t="s">
        <v>12</v>
      </c>
      <c r="C153" s="13" t="s">
        <v>21</v>
      </c>
      <c r="D153" s="13" t="s">
        <v>3</v>
      </c>
      <c r="E153" s="2">
        <f t="shared" si="2"/>
        <v>67</v>
      </c>
      <c r="F153" s="1">
        <v>1959</v>
      </c>
      <c r="G153" s="3" t="s">
        <v>21</v>
      </c>
    </row>
    <row r="154" spans="1:7" ht="15.75" customHeight="1" x14ac:dyDescent="0.25">
      <c r="A154" s="11" t="s">
        <v>195</v>
      </c>
      <c r="B154" s="12" t="s">
        <v>12</v>
      </c>
      <c r="C154" s="13" t="s">
        <v>18</v>
      </c>
      <c r="D154" s="13" t="s">
        <v>8</v>
      </c>
      <c r="E154" s="2">
        <f t="shared" si="2"/>
        <v>44</v>
      </c>
      <c r="F154" s="1">
        <v>1982</v>
      </c>
      <c r="G154" s="3" t="s">
        <v>18</v>
      </c>
    </row>
    <row r="155" spans="1:7" ht="15.75" customHeight="1" x14ac:dyDescent="0.25">
      <c r="A155" s="11" t="s">
        <v>196</v>
      </c>
      <c r="B155" s="12" t="s">
        <v>12</v>
      </c>
      <c r="C155" s="13" t="s">
        <v>21</v>
      </c>
      <c r="D155" s="13" t="s">
        <v>3</v>
      </c>
      <c r="E155" s="2">
        <f t="shared" si="2"/>
        <v>48</v>
      </c>
      <c r="F155" s="1">
        <v>1978</v>
      </c>
      <c r="G155" s="3" t="s">
        <v>21</v>
      </c>
    </row>
    <row r="156" spans="1:7" ht="15.75" customHeight="1" x14ac:dyDescent="0.25">
      <c r="A156" s="11" t="s">
        <v>197</v>
      </c>
      <c r="B156" s="12" t="s">
        <v>12</v>
      </c>
      <c r="C156" s="13" t="s">
        <v>18</v>
      </c>
      <c r="D156" s="13" t="s">
        <v>42</v>
      </c>
      <c r="E156" s="2">
        <f t="shared" si="2"/>
        <v>38</v>
      </c>
      <c r="F156" s="1">
        <v>1988</v>
      </c>
      <c r="G156" s="3" t="s">
        <v>18</v>
      </c>
    </row>
    <row r="157" spans="1:7" ht="15.75" customHeight="1" x14ac:dyDescent="0.25">
      <c r="A157" s="11" t="s">
        <v>198</v>
      </c>
      <c r="B157" s="14" t="s">
        <v>17</v>
      </c>
      <c r="C157" s="13" t="s">
        <v>51</v>
      </c>
      <c r="D157" s="13" t="s">
        <v>8</v>
      </c>
      <c r="E157" s="2">
        <f t="shared" si="2"/>
        <v>42</v>
      </c>
      <c r="F157" s="1">
        <v>1984</v>
      </c>
      <c r="G157" s="3" t="s">
        <v>51</v>
      </c>
    </row>
    <row r="158" spans="1:7" ht="15.75" customHeight="1" x14ac:dyDescent="0.25">
      <c r="A158" s="11" t="s">
        <v>199</v>
      </c>
      <c r="B158" s="12" t="s">
        <v>12</v>
      </c>
      <c r="C158" s="13" t="s">
        <v>31</v>
      </c>
      <c r="D158" s="13" t="s">
        <v>8</v>
      </c>
      <c r="E158" s="2">
        <f t="shared" si="2"/>
        <v>47</v>
      </c>
      <c r="F158" s="1">
        <v>1979</v>
      </c>
      <c r="G158" s="3" t="s">
        <v>31</v>
      </c>
    </row>
    <row r="159" spans="1:7" ht="15.75" customHeight="1" x14ac:dyDescent="0.25">
      <c r="A159" s="11" t="s">
        <v>200</v>
      </c>
      <c r="B159" s="14" t="s">
        <v>17</v>
      </c>
      <c r="C159" s="13" t="s">
        <v>149</v>
      </c>
      <c r="D159" s="13" t="s">
        <v>3</v>
      </c>
      <c r="E159" s="2">
        <f t="shared" si="2"/>
        <v>31</v>
      </c>
      <c r="F159" s="1">
        <v>1995</v>
      </c>
      <c r="G159" s="3" t="s">
        <v>149</v>
      </c>
    </row>
    <row r="160" spans="1:7" ht="15.75" customHeight="1" x14ac:dyDescent="0.25">
      <c r="A160" s="11" t="s">
        <v>201</v>
      </c>
      <c r="B160" s="14" t="s">
        <v>17</v>
      </c>
      <c r="C160" s="13" t="s">
        <v>37</v>
      </c>
      <c r="D160" s="13" t="s">
        <v>32</v>
      </c>
      <c r="E160" s="2">
        <f t="shared" si="2"/>
        <v>68</v>
      </c>
      <c r="F160" s="1">
        <v>1958</v>
      </c>
      <c r="G160" s="3" t="s">
        <v>37</v>
      </c>
    </row>
    <row r="161" spans="1:7" ht="15.75" customHeight="1" x14ac:dyDescent="0.25">
      <c r="A161" s="11" t="s">
        <v>202</v>
      </c>
      <c r="B161" s="14" t="s">
        <v>17</v>
      </c>
      <c r="C161" s="13" t="s">
        <v>203</v>
      </c>
      <c r="D161" s="13" t="s">
        <v>8</v>
      </c>
      <c r="E161" s="2">
        <f t="shared" si="2"/>
        <v>32</v>
      </c>
      <c r="F161" s="1">
        <v>1994</v>
      </c>
      <c r="G161" s="3" t="s">
        <v>203</v>
      </c>
    </row>
    <row r="162" spans="1:7" ht="15.75" customHeight="1" x14ac:dyDescent="0.25">
      <c r="A162" s="11" t="s">
        <v>204</v>
      </c>
      <c r="B162" s="14" t="s">
        <v>17</v>
      </c>
      <c r="C162" s="13" t="s">
        <v>205</v>
      </c>
      <c r="D162" s="13" t="s">
        <v>32</v>
      </c>
      <c r="E162" s="2">
        <f t="shared" si="2"/>
        <v>50</v>
      </c>
      <c r="F162" s="1">
        <v>1976</v>
      </c>
      <c r="G162" s="3" t="s">
        <v>205</v>
      </c>
    </row>
    <row r="163" spans="1:7" ht="15.75" customHeight="1" x14ac:dyDescent="0.25">
      <c r="A163" s="11" t="s">
        <v>206</v>
      </c>
      <c r="B163" s="14" t="s">
        <v>17</v>
      </c>
      <c r="C163" s="13" t="s">
        <v>18</v>
      </c>
      <c r="D163" s="13" t="s">
        <v>8</v>
      </c>
      <c r="E163" s="2">
        <f t="shared" si="2"/>
        <v>51</v>
      </c>
      <c r="F163" s="1">
        <v>1975</v>
      </c>
      <c r="G163" s="3" t="s">
        <v>18</v>
      </c>
    </row>
    <row r="164" spans="1:7" ht="15.75" customHeight="1" x14ac:dyDescent="0.25">
      <c r="A164" s="11" t="s">
        <v>207</v>
      </c>
      <c r="B164" s="14" t="s">
        <v>17</v>
      </c>
      <c r="C164" s="13" t="s">
        <v>21</v>
      </c>
      <c r="D164" s="13" t="s">
        <v>32</v>
      </c>
      <c r="E164" s="2">
        <f t="shared" si="2"/>
        <v>50</v>
      </c>
      <c r="F164" s="1">
        <v>1976</v>
      </c>
      <c r="G164" s="3" t="s">
        <v>21</v>
      </c>
    </row>
    <row r="165" spans="1:7" ht="15.75" customHeight="1" x14ac:dyDescent="0.25">
      <c r="A165" s="11" t="s">
        <v>208</v>
      </c>
      <c r="B165" s="14" t="s">
        <v>17</v>
      </c>
      <c r="C165" s="13" t="s">
        <v>37</v>
      </c>
      <c r="D165" s="13" t="s">
        <v>32</v>
      </c>
      <c r="E165" s="2">
        <f t="shared" si="2"/>
        <v>55</v>
      </c>
      <c r="F165" s="1">
        <v>1971</v>
      </c>
      <c r="G165" s="3" t="s">
        <v>37</v>
      </c>
    </row>
    <row r="166" spans="1:7" ht="15.75" customHeight="1" x14ac:dyDescent="0.25">
      <c r="A166" s="11" t="s">
        <v>209</v>
      </c>
      <c r="B166" s="14" t="s">
        <v>17</v>
      </c>
      <c r="C166" s="13" t="s">
        <v>18</v>
      </c>
      <c r="D166" s="13" t="s">
        <v>3</v>
      </c>
      <c r="E166" s="2">
        <f t="shared" si="2"/>
        <v>48</v>
      </c>
      <c r="F166" s="1">
        <v>1978</v>
      </c>
      <c r="G166" s="3" t="s">
        <v>18</v>
      </c>
    </row>
    <row r="167" spans="1:7" ht="15.75" customHeight="1" x14ac:dyDescent="0.25">
      <c r="A167" s="11" t="s">
        <v>210</v>
      </c>
      <c r="B167" s="12" t="s">
        <v>12</v>
      </c>
      <c r="C167" s="13" t="s">
        <v>21</v>
      </c>
      <c r="D167" s="13" t="s">
        <v>5</v>
      </c>
      <c r="E167" s="2">
        <f t="shared" si="2"/>
        <v>57</v>
      </c>
      <c r="F167" s="1">
        <v>1969</v>
      </c>
      <c r="G167" s="3" t="s">
        <v>21</v>
      </c>
    </row>
    <row r="168" spans="1:7" ht="15.75" customHeight="1" x14ac:dyDescent="0.25">
      <c r="A168" s="11" t="s">
        <v>211</v>
      </c>
      <c r="B168" s="12" t="s">
        <v>12</v>
      </c>
      <c r="C168" s="13" t="s">
        <v>18</v>
      </c>
      <c r="D168" s="13" t="s">
        <v>32</v>
      </c>
      <c r="E168" s="2">
        <f t="shared" si="2"/>
        <v>39</v>
      </c>
      <c r="F168" s="1">
        <v>1987</v>
      </c>
      <c r="G168" s="3" t="s">
        <v>18</v>
      </c>
    </row>
    <row r="169" spans="1:7" ht="15.75" customHeight="1" x14ac:dyDescent="0.25">
      <c r="A169" s="11" t="s">
        <v>212</v>
      </c>
      <c r="B169" s="12" t="s">
        <v>12</v>
      </c>
      <c r="C169" s="13" t="s">
        <v>13</v>
      </c>
      <c r="D169" s="13" t="s">
        <v>8</v>
      </c>
      <c r="E169" s="2">
        <f t="shared" si="2"/>
        <v>55</v>
      </c>
      <c r="F169" s="1">
        <v>1971</v>
      </c>
      <c r="G169" s="3" t="s">
        <v>13</v>
      </c>
    </row>
    <row r="170" spans="1:7" ht="15.75" customHeight="1" x14ac:dyDescent="0.25">
      <c r="A170" s="11" t="s">
        <v>213</v>
      </c>
      <c r="B170" s="12" t="s">
        <v>12</v>
      </c>
      <c r="C170" s="13" t="s">
        <v>37</v>
      </c>
      <c r="D170" s="13" t="s">
        <v>214</v>
      </c>
      <c r="E170" s="2">
        <f t="shared" si="2"/>
        <v>33</v>
      </c>
      <c r="F170" s="1">
        <v>1993</v>
      </c>
      <c r="G170" s="3" t="s">
        <v>37</v>
      </c>
    </row>
    <row r="171" spans="1:7" ht="15.75" customHeight="1" x14ac:dyDescent="0.25">
      <c r="A171" s="11" t="s">
        <v>215</v>
      </c>
      <c r="B171" s="12" t="s">
        <v>12</v>
      </c>
      <c r="C171" s="13" t="s">
        <v>13</v>
      </c>
      <c r="D171" s="13" t="s">
        <v>8</v>
      </c>
      <c r="E171" s="2">
        <f t="shared" si="2"/>
        <v>45</v>
      </c>
      <c r="F171" s="1">
        <v>1981</v>
      </c>
      <c r="G171" s="3" t="s">
        <v>13</v>
      </c>
    </row>
    <row r="172" spans="1:7" ht="15.75" customHeight="1" x14ac:dyDescent="0.25">
      <c r="A172" s="11" t="s">
        <v>216</v>
      </c>
      <c r="B172" s="12" t="s">
        <v>12</v>
      </c>
      <c r="C172" s="13" t="s">
        <v>37</v>
      </c>
      <c r="D172" s="13" t="s">
        <v>8</v>
      </c>
      <c r="E172" s="2">
        <f t="shared" si="2"/>
        <v>54</v>
      </c>
      <c r="F172" s="1">
        <v>1972</v>
      </c>
      <c r="G172" s="3" t="s">
        <v>37</v>
      </c>
    </row>
    <row r="173" spans="1:7" ht="15.75" customHeight="1" x14ac:dyDescent="0.25">
      <c r="A173" s="11" t="s">
        <v>217</v>
      </c>
      <c r="B173" s="12" t="s">
        <v>12</v>
      </c>
      <c r="C173" s="13" t="s">
        <v>21</v>
      </c>
      <c r="D173" s="13" t="s">
        <v>8</v>
      </c>
      <c r="E173" s="2">
        <f t="shared" si="2"/>
        <v>46</v>
      </c>
      <c r="F173" s="1">
        <v>1980</v>
      </c>
      <c r="G173" s="3" t="s">
        <v>21</v>
      </c>
    </row>
    <row r="174" spans="1:7" ht="15.75" customHeight="1" x14ac:dyDescent="0.25">
      <c r="A174" s="11" t="s">
        <v>218</v>
      </c>
      <c r="B174" s="14" t="s">
        <v>17</v>
      </c>
      <c r="C174" s="13" t="s">
        <v>61</v>
      </c>
      <c r="D174" s="13" t="s">
        <v>3</v>
      </c>
      <c r="E174" s="2">
        <f t="shared" si="2"/>
        <v>50</v>
      </c>
      <c r="F174" s="1">
        <v>1976</v>
      </c>
      <c r="G174" s="3" t="s">
        <v>61</v>
      </c>
    </row>
    <row r="175" spans="1:7" ht="15.75" customHeight="1" x14ac:dyDescent="0.25">
      <c r="A175" s="11" t="s">
        <v>219</v>
      </c>
      <c r="B175" s="14" t="s">
        <v>17</v>
      </c>
      <c r="C175" s="13" t="s">
        <v>220</v>
      </c>
      <c r="D175" s="13" t="s">
        <v>8</v>
      </c>
      <c r="E175" s="2">
        <f t="shared" si="2"/>
        <v>57</v>
      </c>
      <c r="F175" s="1">
        <v>1969</v>
      </c>
      <c r="G175" s="3" t="s">
        <v>220</v>
      </c>
    </row>
    <row r="176" spans="1:7" ht="15.75" customHeight="1" x14ac:dyDescent="0.25">
      <c r="A176" s="11" t="s">
        <v>221</v>
      </c>
      <c r="B176" s="14" t="s">
        <v>17</v>
      </c>
      <c r="C176" s="13" t="s">
        <v>37</v>
      </c>
      <c r="D176" s="13" t="s">
        <v>5</v>
      </c>
      <c r="E176" s="2">
        <f t="shared" si="2"/>
        <v>59</v>
      </c>
      <c r="F176" s="1">
        <v>1967</v>
      </c>
      <c r="G176" s="3" t="s">
        <v>37</v>
      </c>
    </row>
    <row r="177" spans="1:7" ht="15.75" customHeight="1" x14ac:dyDescent="0.25">
      <c r="A177" s="11" t="s">
        <v>222</v>
      </c>
      <c r="B177" s="14" t="s">
        <v>17</v>
      </c>
      <c r="C177" s="13" t="s">
        <v>89</v>
      </c>
      <c r="D177" s="13" t="s">
        <v>8</v>
      </c>
      <c r="E177" s="2">
        <f t="shared" si="2"/>
        <v>53</v>
      </c>
      <c r="F177" s="1">
        <v>1973</v>
      </c>
      <c r="G177" s="3" t="s">
        <v>89</v>
      </c>
    </row>
    <row r="178" spans="1:7" ht="15.75" customHeight="1" x14ac:dyDescent="0.25">
      <c r="A178" s="11" t="s">
        <v>223</v>
      </c>
      <c r="B178" s="14" t="s">
        <v>17</v>
      </c>
      <c r="C178" s="13" t="s">
        <v>21</v>
      </c>
      <c r="D178" s="13" t="s">
        <v>147</v>
      </c>
      <c r="E178" s="2">
        <f t="shared" si="2"/>
        <v>58</v>
      </c>
      <c r="F178" s="1">
        <v>1968</v>
      </c>
      <c r="G178" s="3" t="s">
        <v>21</v>
      </c>
    </row>
    <row r="179" spans="1:7" ht="15.75" customHeight="1" x14ac:dyDescent="0.25">
      <c r="A179" s="11" t="s">
        <v>224</v>
      </c>
      <c r="B179" s="14" t="s">
        <v>17</v>
      </c>
      <c r="C179" s="13" t="s">
        <v>21</v>
      </c>
      <c r="D179" s="13" t="s">
        <v>214</v>
      </c>
      <c r="E179" s="2">
        <f t="shared" si="2"/>
        <v>57</v>
      </c>
      <c r="F179" s="1">
        <v>1969</v>
      </c>
      <c r="G179" s="3" t="s">
        <v>21</v>
      </c>
    </row>
    <row r="180" spans="1:7" ht="15.75" customHeight="1" x14ac:dyDescent="0.25">
      <c r="A180" s="11" t="s">
        <v>225</v>
      </c>
      <c r="B180" s="14" t="s">
        <v>17</v>
      </c>
      <c r="C180" s="13" t="s">
        <v>34</v>
      </c>
      <c r="D180" s="13" t="s">
        <v>32</v>
      </c>
      <c r="E180" s="2">
        <f t="shared" si="2"/>
        <v>53</v>
      </c>
      <c r="F180" s="1">
        <v>1973</v>
      </c>
      <c r="G180" s="3" t="s">
        <v>34</v>
      </c>
    </row>
    <row r="181" spans="1:7" ht="15.75" customHeight="1" x14ac:dyDescent="0.25">
      <c r="A181" s="11" t="s">
        <v>226</v>
      </c>
      <c r="B181" s="14" t="s">
        <v>17</v>
      </c>
      <c r="C181" s="13" t="s">
        <v>49</v>
      </c>
      <c r="D181" s="13" t="s">
        <v>8</v>
      </c>
      <c r="E181" s="2">
        <f t="shared" si="2"/>
        <v>36</v>
      </c>
      <c r="F181" s="1">
        <v>1990</v>
      </c>
      <c r="G181" s="3" t="s">
        <v>49</v>
      </c>
    </row>
    <row r="182" spans="1:7" ht="15.75" customHeight="1" x14ac:dyDescent="0.25">
      <c r="A182" s="11" t="s">
        <v>227</v>
      </c>
      <c r="B182" s="14" t="s">
        <v>17</v>
      </c>
      <c r="C182" s="13" t="s">
        <v>89</v>
      </c>
      <c r="D182" s="13" t="s">
        <v>8</v>
      </c>
      <c r="E182" s="2">
        <f t="shared" si="2"/>
        <v>53</v>
      </c>
      <c r="F182" s="1">
        <v>1973</v>
      </c>
      <c r="G182" s="3" t="s">
        <v>89</v>
      </c>
    </row>
    <row r="183" spans="1:7" ht="15.75" customHeight="1" x14ac:dyDescent="0.25">
      <c r="A183" s="11" t="s">
        <v>228</v>
      </c>
      <c r="B183" s="14" t="s">
        <v>17</v>
      </c>
      <c r="C183" s="13" t="s">
        <v>34</v>
      </c>
      <c r="D183" s="13" t="s">
        <v>3</v>
      </c>
      <c r="E183" s="2">
        <f t="shared" si="2"/>
        <v>55</v>
      </c>
      <c r="F183" s="1">
        <v>1971</v>
      </c>
      <c r="G183" s="3" t="s">
        <v>34</v>
      </c>
    </row>
    <row r="184" spans="1:7" ht="15.75" customHeight="1" x14ac:dyDescent="0.25">
      <c r="A184" s="11" t="s">
        <v>229</v>
      </c>
      <c r="B184" s="14" t="s">
        <v>17</v>
      </c>
      <c r="C184" s="13" t="s">
        <v>70</v>
      </c>
      <c r="D184" s="13" t="s">
        <v>32</v>
      </c>
      <c r="E184" s="2">
        <f t="shared" si="2"/>
        <v>39</v>
      </c>
      <c r="F184" s="1">
        <v>1987</v>
      </c>
      <c r="G184" s="3" t="s">
        <v>70</v>
      </c>
    </row>
    <row r="185" spans="1:7" ht="15.75" customHeight="1" x14ac:dyDescent="0.25">
      <c r="A185" s="11" t="s">
        <v>230</v>
      </c>
      <c r="B185" s="14" t="s">
        <v>17</v>
      </c>
      <c r="C185" s="13" t="s">
        <v>34</v>
      </c>
      <c r="D185" s="13" t="s">
        <v>3</v>
      </c>
      <c r="E185" s="2">
        <f t="shared" si="2"/>
        <v>52</v>
      </c>
      <c r="F185" s="1">
        <v>1974</v>
      </c>
      <c r="G185" s="3" t="s">
        <v>34</v>
      </c>
    </row>
    <row r="186" spans="1:7" ht="15.75" customHeight="1" x14ac:dyDescent="0.25">
      <c r="A186" s="11" t="s">
        <v>231</v>
      </c>
      <c r="B186" s="14" t="s">
        <v>17</v>
      </c>
      <c r="C186" s="13" t="s">
        <v>44</v>
      </c>
      <c r="D186" s="13" t="s">
        <v>3</v>
      </c>
      <c r="E186" s="2">
        <f t="shared" si="2"/>
        <v>53</v>
      </c>
      <c r="F186" s="1">
        <v>1973</v>
      </c>
      <c r="G186" s="3" t="s">
        <v>44</v>
      </c>
    </row>
    <row r="187" spans="1:7" ht="15.75" customHeight="1" x14ac:dyDescent="0.25">
      <c r="A187" s="11" t="s">
        <v>232</v>
      </c>
      <c r="B187" s="14" t="s">
        <v>17</v>
      </c>
      <c r="C187" s="13" t="s">
        <v>13</v>
      </c>
      <c r="D187" s="13" t="s">
        <v>32</v>
      </c>
      <c r="E187" s="2">
        <f t="shared" si="2"/>
        <v>51</v>
      </c>
      <c r="F187" s="1">
        <v>1975</v>
      </c>
      <c r="G187" s="3" t="s">
        <v>13</v>
      </c>
    </row>
    <row r="188" spans="1:7" ht="15.75" customHeight="1" x14ac:dyDescent="0.25">
      <c r="A188" s="11" t="s">
        <v>233</v>
      </c>
      <c r="B188" s="14" t="s">
        <v>17</v>
      </c>
      <c r="C188" s="13" t="s">
        <v>21</v>
      </c>
      <c r="D188" s="13" t="s">
        <v>32</v>
      </c>
      <c r="E188" s="2">
        <f t="shared" si="2"/>
        <v>54</v>
      </c>
      <c r="F188" s="1">
        <v>1972</v>
      </c>
      <c r="G188" s="3" t="s">
        <v>21</v>
      </c>
    </row>
    <row r="189" spans="1:7" ht="15.75" customHeight="1" x14ac:dyDescent="0.25">
      <c r="A189" s="11" t="s">
        <v>234</v>
      </c>
      <c r="B189" s="14" t="s">
        <v>17</v>
      </c>
      <c r="C189" s="13" t="s">
        <v>235</v>
      </c>
      <c r="D189" s="13" t="s">
        <v>32</v>
      </c>
      <c r="E189" s="2">
        <f t="shared" si="2"/>
        <v>46</v>
      </c>
      <c r="F189" s="1">
        <v>1980</v>
      </c>
      <c r="G189" s="3" t="s">
        <v>235</v>
      </c>
    </row>
    <row r="190" spans="1:7" ht="15.75" customHeight="1" x14ac:dyDescent="0.25">
      <c r="A190" s="11" t="s">
        <v>236</v>
      </c>
      <c r="B190" s="14" t="s">
        <v>17</v>
      </c>
      <c r="C190" s="13" t="s">
        <v>37</v>
      </c>
      <c r="D190" s="13" t="s">
        <v>8</v>
      </c>
      <c r="E190" s="2">
        <f t="shared" si="2"/>
        <v>47</v>
      </c>
      <c r="F190" s="1">
        <v>1979</v>
      </c>
      <c r="G190" s="3" t="s">
        <v>37</v>
      </c>
    </row>
    <row r="191" spans="1:7" ht="15.75" customHeight="1" x14ac:dyDescent="0.25">
      <c r="A191" s="11" t="s">
        <v>237</v>
      </c>
      <c r="B191" s="14" t="s">
        <v>17</v>
      </c>
      <c r="C191" s="13" t="s">
        <v>21</v>
      </c>
      <c r="D191" s="13" t="s">
        <v>8</v>
      </c>
      <c r="E191" s="2">
        <f t="shared" si="2"/>
        <v>60</v>
      </c>
      <c r="F191" s="1">
        <v>1966</v>
      </c>
      <c r="G191" s="3" t="s">
        <v>21</v>
      </c>
    </row>
    <row r="192" spans="1:7" ht="15.75" customHeight="1" x14ac:dyDescent="0.25">
      <c r="A192" s="11" t="s">
        <v>238</v>
      </c>
      <c r="B192" s="14" t="s">
        <v>17</v>
      </c>
      <c r="C192" s="13" t="s">
        <v>13</v>
      </c>
      <c r="D192" s="13" t="s">
        <v>32</v>
      </c>
      <c r="E192" s="2">
        <f t="shared" si="2"/>
        <v>49</v>
      </c>
      <c r="F192" s="1">
        <v>1977</v>
      </c>
      <c r="G192" s="3" t="s">
        <v>13</v>
      </c>
    </row>
    <row r="193" spans="1:7" ht="15.75" customHeight="1" x14ac:dyDescent="0.25">
      <c r="A193" s="11" t="s">
        <v>239</v>
      </c>
      <c r="B193" s="14" t="s">
        <v>17</v>
      </c>
      <c r="C193" s="13" t="s">
        <v>21</v>
      </c>
      <c r="D193" s="13" t="s">
        <v>3</v>
      </c>
      <c r="E193" s="2">
        <f t="shared" si="2"/>
        <v>51</v>
      </c>
      <c r="F193" s="1">
        <v>1975</v>
      </c>
      <c r="G193" s="3" t="s">
        <v>21</v>
      </c>
    </row>
    <row r="194" spans="1:7" ht="15.75" customHeight="1" x14ac:dyDescent="0.25">
      <c r="A194" s="11" t="s">
        <v>240</v>
      </c>
      <c r="B194" s="14" t="s">
        <v>17</v>
      </c>
      <c r="C194" s="13" t="s">
        <v>18</v>
      </c>
      <c r="D194" s="13" t="s">
        <v>3</v>
      </c>
      <c r="E194" s="2">
        <f t="shared" si="2"/>
        <v>55</v>
      </c>
      <c r="F194" s="1">
        <v>1971</v>
      </c>
      <c r="G194" s="3" t="s">
        <v>18</v>
      </c>
    </row>
    <row r="195" spans="1:7" ht="15.75" customHeight="1" x14ac:dyDescent="0.25">
      <c r="A195" s="11" t="s">
        <v>241</v>
      </c>
      <c r="B195" s="14" t="s">
        <v>17</v>
      </c>
      <c r="C195" s="13" t="s">
        <v>18</v>
      </c>
      <c r="D195" s="13" t="s">
        <v>32</v>
      </c>
      <c r="E195" s="2">
        <f t="shared" si="2"/>
        <v>50</v>
      </c>
      <c r="F195" s="1">
        <v>1976</v>
      </c>
      <c r="G195" s="3" t="s">
        <v>18</v>
      </c>
    </row>
    <row r="196" spans="1:7" ht="15.75" customHeight="1" x14ac:dyDescent="0.25">
      <c r="A196" s="11" t="s">
        <v>242</v>
      </c>
      <c r="B196" s="14" t="s">
        <v>17</v>
      </c>
      <c r="C196" s="13" t="s">
        <v>21</v>
      </c>
      <c r="D196" s="13" t="s">
        <v>8</v>
      </c>
      <c r="E196" s="2">
        <f t="shared" ref="E196:E232" si="3">2026-F196</f>
        <v>51</v>
      </c>
      <c r="F196" s="1">
        <v>1975</v>
      </c>
      <c r="G196" s="3" t="s">
        <v>21</v>
      </c>
    </row>
    <row r="197" spans="1:7" ht="15.75" customHeight="1" x14ac:dyDescent="0.25">
      <c r="A197" s="11" t="s">
        <v>243</v>
      </c>
      <c r="B197" s="14" t="s">
        <v>17</v>
      </c>
      <c r="C197" s="13" t="s">
        <v>149</v>
      </c>
      <c r="D197" s="13" t="s">
        <v>8</v>
      </c>
      <c r="E197" s="2">
        <f t="shared" si="3"/>
        <v>65</v>
      </c>
      <c r="F197" s="1">
        <v>1961</v>
      </c>
      <c r="G197" s="3" t="s">
        <v>149</v>
      </c>
    </row>
    <row r="198" spans="1:7" ht="15.75" customHeight="1" x14ac:dyDescent="0.25">
      <c r="A198" s="11" t="s">
        <v>244</v>
      </c>
      <c r="B198" s="14" t="s">
        <v>17</v>
      </c>
      <c r="C198" s="13" t="s">
        <v>61</v>
      </c>
      <c r="D198" s="13" t="s">
        <v>8</v>
      </c>
      <c r="E198" s="2">
        <f t="shared" si="3"/>
        <v>57</v>
      </c>
      <c r="F198" s="1">
        <v>1969</v>
      </c>
      <c r="G198" s="3" t="s">
        <v>61</v>
      </c>
    </row>
    <row r="199" spans="1:7" ht="15.75" customHeight="1" x14ac:dyDescent="0.25">
      <c r="A199" s="11" t="s">
        <v>245</v>
      </c>
      <c r="B199" s="12" t="s">
        <v>12</v>
      </c>
      <c r="C199" s="13" t="s">
        <v>70</v>
      </c>
      <c r="D199" s="13" t="s">
        <v>8</v>
      </c>
      <c r="E199" s="2">
        <f t="shared" si="3"/>
        <v>66</v>
      </c>
      <c r="F199" s="1">
        <v>1960</v>
      </c>
      <c r="G199" s="3" t="s">
        <v>70</v>
      </c>
    </row>
    <row r="200" spans="1:7" ht="15.75" customHeight="1" x14ac:dyDescent="0.25">
      <c r="A200" s="11" t="s">
        <v>246</v>
      </c>
      <c r="B200" s="14" t="s">
        <v>17</v>
      </c>
      <c r="C200" s="13" t="s">
        <v>68</v>
      </c>
      <c r="D200" s="13" t="s">
        <v>8</v>
      </c>
      <c r="E200" s="2">
        <f t="shared" si="3"/>
        <v>42</v>
      </c>
      <c r="F200" s="1">
        <v>1984</v>
      </c>
      <c r="G200" s="3" t="s">
        <v>68</v>
      </c>
    </row>
    <row r="201" spans="1:7" ht="15.75" customHeight="1" x14ac:dyDescent="0.25">
      <c r="A201" s="11" t="s">
        <v>247</v>
      </c>
      <c r="B201" s="14" t="s">
        <v>17</v>
      </c>
      <c r="C201" s="13" t="s">
        <v>21</v>
      </c>
      <c r="D201" s="13" t="s">
        <v>32</v>
      </c>
      <c r="E201" s="2">
        <f t="shared" si="3"/>
        <v>45</v>
      </c>
      <c r="F201" s="1">
        <v>1981</v>
      </c>
      <c r="G201" s="3" t="s">
        <v>21</v>
      </c>
    </row>
    <row r="202" spans="1:7" ht="15.75" customHeight="1" x14ac:dyDescent="0.25">
      <c r="A202" s="11" t="s">
        <v>248</v>
      </c>
      <c r="B202" s="14" t="s">
        <v>17</v>
      </c>
      <c r="C202" s="13" t="s">
        <v>21</v>
      </c>
      <c r="D202" s="13" t="s">
        <v>3</v>
      </c>
      <c r="E202" s="2">
        <f t="shared" si="3"/>
        <v>37</v>
      </c>
      <c r="F202" s="1">
        <v>1989</v>
      </c>
      <c r="G202" s="3" t="s">
        <v>21</v>
      </c>
    </row>
    <row r="203" spans="1:7" ht="15.75" customHeight="1" x14ac:dyDescent="0.25">
      <c r="A203" s="11" t="s">
        <v>249</v>
      </c>
      <c r="B203" s="14" t="s">
        <v>17</v>
      </c>
      <c r="C203" s="13" t="s">
        <v>37</v>
      </c>
      <c r="D203" s="13" t="s">
        <v>32</v>
      </c>
      <c r="E203" s="2">
        <f t="shared" si="3"/>
        <v>58</v>
      </c>
      <c r="F203" s="1">
        <v>1968</v>
      </c>
      <c r="G203" s="3" t="s">
        <v>37</v>
      </c>
    </row>
    <row r="204" spans="1:7" ht="15.75" customHeight="1" x14ac:dyDescent="0.25">
      <c r="A204" s="11" t="s">
        <v>250</v>
      </c>
      <c r="B204" s="14" t="s">
        <v>17</v>
      </c>
      <c r="C204" s="13" t="s">
        <v>235</v>
      </c>
      <c r="D204" s="13" t="s">
        <v>32</v>
      </c>
      <c r="E204" s="2">
        <f t="shared" si="3"/>
        <v>54</v>
      </c>
      <c r="F204" s="1">
        <v>1972</v>
      </c>
      <c r="G204" s="3" t="s">
        <v>235</v>
      </c>
    </row>
    <row r="205" spans="1:7" ht="15.75" customHeight="1" x14ac:dyDescent="0.25">
      <c r="A205" s="11" t="s">
        <v>251</v>
      </c>
      <c r="B205" s="14" t="s">
        <v>17</v>
      </c>
      <c r="C205" s="13" t="s">
        <v>70</v>
      </c>
      <c r="D205" s="13" t="s">
        <v>8</v>
      </c>
      <c r="E205" s="2">
        <f t="shared" si="3"/>
        <v>30</v>
      </c>
      <c r="F205" s="1">
        <v>1996</v>
      </c>
      <c r="G205" s="3" t="s">
        <v>70</v>
      </c>
    </row>
    <row r="206" spans="1:7" ht="15.75" customHeight="1" x14ac:dyDescent="0.25">
      <c r="A206" s="11" t="s">
        <v>252</v>
      </c>
      <c r="B206" s="14" t="s">
        <v>17</v>
      </c>
      <c r="C206" s="13" t="s">
        <v>37</v>
      </c>
      <c r="D206" s="13" t="s">
        <v>32</v>
      </c>
      <c r="E206" s="2">
        <f t="shared" si="3"/>
        <v>43</v>
      </c>
      <c r="F206" s="1">
        <v>1983</v>
      </c>
      <c r="G206" s="3" t="s">
        <v>37</v>
      </c>
    </row>
    <row r="207" spans="1:7" ht="15.75" customHeight="1" x14ac:dyDescent="0.25">
      <c r="A207" s="11" t="s">
        <v>253</v>
      </c>
      <c r="B207" s="14" t="s">
        <v>17</v>
      </c>
      <c r="C207" s="13" t="s">
        <v>61</v>
      </c>
      <c r="D207" s="13" t="s">
        <v>32</v>
      </c>
      <c r="E207" s="2">
        <f t="shared" si="3"/>
        <v>27</v>
      </c>
      <c r="F207" s="1">
        <v>1999</v>
      </c>
      <c r="G207" s="3" t="s">
        <v>61</v>
      </c>
    </row>
    <row r="208" spans="1:7" ht="15.75" customHeight="1" x14ac:dyDescent="0.25">
      <c r="A208" s="11" t="s">
        <v>254</v>
      </c>
      <c r="B208" s="12" t="s">
        <v>12</v>
      </c>
      <c r="C208" s="13" t="s">
        <v>21</v>
      </c>
      <c r="D208" s="13" t="s">
        <v>42</v>
      </c>
      <c r="E208" s="2">
        <f t="shared" si="3"/>
        <v>28</v>
      </c>
      <c r="F208" s="1">
        <v>1998</v>
      </c>
      <c r="G208" s="3" t="s">
        <v>21</v>
      </c>
    </row>
    <row r="209" spans="1:7" ht="15.75" customHeight="1" x14ac:dyDescent="0.25">
      <c r="A209" s="11" t="s">
        <v>255</v>
      </c>
      <c r="B209" s="14" t="s">
        <v>17</v>
      </c>
      <c r="C209" s="13" t="s">
        <v>34</v>
      </c>
      <c r="D209" s="13" t="s">
        <v>3</v>
      </c>
      <c r="E209" s="2">
        <f t="shared" si="3"/>
        <v>50</v>
      </c>
      <c r="F209" s="1">
        <v>1976</v>
      </c>
      <c r="G209" s="3" t="s">
        <v>34</v>
      </c>
    </row>
    <row r="210" spans="1:7" ht="15.75" customHeight="1" x14ac:dyDescent="0.25">
      <c r="A210" s="11" t="s">
        <v>256</v>
      </c>
      <c r="B210" s="14" t="s">
        <v>17</v>
      </c>
      <c r="C210" s="13" t="s">
        <v>146</v>
      </c>
      <c r="D210" s="13" t="s">
        <v>32</v>
      </c>
      <c r="E210" s="2">
        <f t="shared" si="3"/>
        <v>37</v>
      </c>
      <c r="F210" s="1">
        <v>1989</v>
      </c>
      <c r="G210" s="3" t="s">
        <v>146</v>
      </c>
    </row>
    <row r="211" spans="1:7" ht="15.75" customHeight="1" x14ac:dyDescent="0.25">
      <c r="A211" s="11" t="s">
        <v>257</v>
      </c>
      <c r="B211" s="12" t="s">
        <v>12</v>
      </c>
      <c r="C211" s="13" t="s">
        <v>21</v>
      </c>
      <c r="D211" s="13" t="s">
        <v>32</v>
      </c>
      <c r="E211" s="2">
        <f t="shared" si="3"/>
        <v>56</v>
      </c>
      <c r="F211" s="1">
        <v>1970</v>
      </c>
      <c r="G211" s="3" t="s">
        <v>21</v>
      </c>
    </row>
    <row r="212" spans="1:7" ht="15.75" customHeight="1" x14ac:dyDescent="0.25">
      <c r="A212" s="11" t="s">
        <v>258</v>
      </c>
      <c r="B212" s="14" t="s">
        <v>17</v>
      </c>
      <c r="C212" s="13" t="s">
        <v>68</v>
      </c>
      <c r="D212" s="13" t="s">
        <v>32</v>
      </c>
      <c r="E212" s="2">
        <f t="shared" si="3"/>
        <v>34</v>
      </c>
      <c r="F212" s="1">
        <v>1992</v>
      </c>
      <c r="G212" s="3" t="s">
        <v>68</v>
      </c>
    </row>
    <row r="213" spans="1:7" ht="15.75" customHeight="1" x14ac:dyDescent="0.25">
      <c r="A213" s="11" t="s">
        <v>259</v>
      </c>
      <c r="B213" s="14" t="s">
        <v>17</v>
      </c>
      <c r="C213" s="13" t="s">
        <v>26</v>
      </c>
      <c r="D213" s="13" t="s">
        <v>3</v>
      </c>
      <c r="E213" s="2">
        <f t="shared" si="3"/>
        <v>57</v>
      </c>
      <c r="F213" s="1">
        <v>1969</v>
      </c>
      <c r="G213" s="3" t="s">
        <v>26</v>
      </c>
    </row>
    <row r="214" spans="1:7" ht="15.75" customHeight="1" x14ac:dyDescent="0.25">
      <c r="A214" s="11" t="s">
        <v>260</v>
      </c>
      <c r="B214" s="14" t="s">
        <v>17</v>
      </c>
      <c r="C214" s="13" t="s">
        <v>21</v>
      </c>
      <c r="D214" s="13" t="s">
        <v>32</v>
      </c>
      <c r="E214" s="2">
        <f t="shared" si="3"/>
        <v>60</v>
      </c>
      <c r="F214" s="1">
        <v>1966</v>
      </c>
      <c r="G214" s="3" t="s">
        <v>21</v>
      </c>
    </row>
    <row r="215" spans="1:7" ht="15.75" customHeight="1" x14ac:dyDescent="0.25">
      <c r="A215" s="11" t="s">
        <v>261</v>
      </c>
      <c r="B215" s="14" t="s">
        <v>17</v>
      </c>
      <c r="C215" s="13" t="s">
        <v>61</v>
      </c>
      <c r="D215" s="13" t="s">
        <v>42</v>
      </c>
      <c r="E215" s="2">
        <f t="shared" si="3"/>
        <v>24</v>
      </c>
      <c r="F215" s="1">
        <v>2002</v>
      </c>
      <c r="G215" s="3" t="s">
        <v>61</v>
      </c>
    </row>
    <row r="216" spans="1:7" ht="15.75" customHeight="1" x14ac:dyDescent="0.25">
      <c r="A216" s="11" t="s">
        <v>262</v>
      </c>
      <c r="B216" s="14" t="s">
        <v>17</v>
      </c>
      <c r="C216" s="13" t="s">
        <v>263</v>
      </c>
      <c r="D216" s="13" t="s">
        <v>8</v>
      </c>
      <c r="E216" s="2">
        <f t="shared" si="3"/>
        <v>54</v>
      </c>
      <c r="F216" s="1">
        <v>1972</v>
      </c>
      <c r="G216" s="3" t="s">
        <v>263</v>
      </c>
    </row>
    <row r="217" spans="1:7" ht="15.75" customHeight="1" x14ac:dyDescent="0.25">
      <c r="A217" s="11" t="s">
        <v>264</v>
      </c>
      <c r="B217" s="14" t="s">
        <v>17</v>
      </c>
      <c r="C217" s="13" t="s">
        <v>21</v>
      </c>
      <c r="D217" s="13" t="s">
        <v>5</v>
      </c>
      <c r="E217" s="2">
        <f t="shared" si="3"/>
        <v>56</v>
      </c>
      <c r="F217" s="1">
        <v>1970</v>
      </c>
      <c r="G217" s="3" t="s">
        <v>21</v>
      </c>
    </row>
    <row r="218" spans="1:7" ht="15.75" customHeight="1" x14ac:dyDescent="0.25">
      <c r="A218" s="11" t="s">
        <v>265</v>
      </c>
      <c r="B218" s="14" t="s">
        <v>17</v>
      </c>
      <c r="C218" s="13" t="s">
        <v>61</v>
      </c>
      <c r="D218" s="13" t="s">
        <v>3</v>
      </c>
      <c r="E218" s="2">
        <f t="shared" si="3"/>
        <v>59</v>
      </c>
      <c r="F218" s="1">
        <v>1967</v>
      </c>
      <c r="G218" s="3" t="s">
        <v>61</v>
      </c>
    </row>
    <row r="219" spans="1:7" ht="15.75" customHeight="1" x14ac:dyDescent="0.25">
      <c r="A219" s="11" t="s">
        <v>266</v>
      </c>
      <c r="B219" s="14" t="s">
        <v>17</v>
      </c>
      <c r="C219" s="13" t="s">
        <v>21</v>
      </c>
      <c r="D219" s="13" t="s">
        <v>8</v>
      </c>
      <c r="E219" s="2">
        <f t="shared" si="3"/>
        <v>47</v>
      </c>
      <c r="F219" s="1">
        <v>1979</v>
      </c>
      <c r="G219" s="3" t="s">
        <v>21</v>
      </c>
    </row>
    <row r="220" spans="1:7" ht="15.75" customHeight="1" x14ac:dyDescent="0.25">
      <c r="A220" s="11" t="s">
        <v>267</v>
      </c>
      <c r="B220" s="12" t="s">
        <v>12</v>
      </c>
      <c r="C220" s="13" t="s">
        <v>235</v>
      </c>
      <c r="D220" s="13" t="s">
        <v>32</v>
      </c>
      <c r="E220" s="2">
        <f t="shared" si="3"/>
        <v>52</v>
      </c>
      <c r="F220" s="1">
        <v>1974</v>
      </c>
      <c r="G220" s="3" t="s">
        <v>235</v>
      </c>
    </row>
    <row r="221" spans="1:7" ht="15.75" customHeight="1" x14ac:dyDescent="0.25">
      <c r="A221" s="11" t="s">
        <v>268</v>
      </c>
      <c r="B221" s="12" t="s">
        <v>12</v>
      </c>
      <c r="C221" s="13" t="s">
        <v>146</v>
      </c>
      <c r="D221" s="13" t="s">
        <v>3</v>
      </c>
      <c r="E221" s="2">
        <f t="shared" si="3"/>
        <v>53</v>
      </c>
      <c r="F221" s="1">
        <v>1973</v>
      </c>
      <c r="G221" s="3" t="s">
        <v>146</v>
      </c>
    </row>
    <row r="222" spans="1:7" ht="15.75" customHeight="1" x14ac:dyDescent="0.25">
      <c r="A222" s="11" t="s">
        <v>269</v>
      </c>
      <c r="B222" s="12" t="s">
        <v>12</v>
      </c>
      <c r="C222" s="13" t="s">
        <v>61</v>
      </c>
      <c r="D222" s="13" t="s">
        <v>8</v>
      </c>
      <c r="E222" s="2">
        <f t="shared" si="3"/>
        <v>54</v>
      </c>
      <c r="F222" s="1">
        <v>1972</v>
      </c>
      <c r="G222" s="3" t="s">
        <v>61</v>
      </c>
    </row>
    <row r="223" spans="1:7" ht="15.75" customHeight="1" x14ac:dyDescent="0.25">
      <c r="A223" s="11" t="s">
        <v>270</v>
      </c>
      <c r="B223" s="12" t="s">
        <v>12</v>
      </c>
      <c r="C223" s="13" t="s">
        <v>18</v>
      </c>
      <c r="D223" s="13" t="s">
        <v>3</v>
      </c>
      <c r="E223" s="2">
        <f t="shared" si="3"/>
        <v>27</v>
      </c>
      <c r="F223" s="1">
        <v>1999</v>
      </c>
      <c r="G223" s="3" t="s">
        <v>18</v>
      </c>
    </row>
    <row r="224" spans="1:7" ht="15.75" customHeight="1" x14ac:dyDescent="0.25">
      <c r="A224" s="11" t="s">
        <v>271</v>
      </c>
      <c r="B224" s="12" t="s">
        <v>12</v>
      </c>
      <c r="C224" s="13" t="s">
        <v>37</v>
      </c>
      <c r="D224" s="13" t="s">
        <v>8</v>
      </c>
      <c r="E224" s="2">
        <f t="shared" si="3"/>
        <v>52</v>
      </c>
      <c r="F224" s="1">
        <v>1974</v>
      </c>
      <c r="G224" s="3" t="s">
        <v>37</v>
      </c>
    </row>
    <row r="225" spans="1:7" ht="15.75" customHeight="1" x14ac:dyDescent="0.25">
      <c r="A225" s="11" t="s">
        <v>272</v>
      </c>
      <c r="B225" s="12" t="s">
        <v>12</v>
      </c>
      <c r="C225" s="13" t="s">
        <v>61</v>
      </c>
      <c r="D225" s="13" t="s">
        <v>8</v>
      </c>
      <c r="E225" s="2">
        <f t="shared" si="3"/>
        <v>46</v>
      </c>
      <c r="F225" s="1">
        <v>1980</v>
      </c>
      <c r="G225" s="3" t="s">
        <v>61</v>
      </c>
    </row>
    <row r="226" spans="1:7" ht="15.75" customHeight="1" x14ac:dyDescent="0.25">
      <c r="A226" s="11" t="s">
        <v>273</v>
      </c>
      <c r="B226" s="12" t="s">
        <v>12</v>
      </c>
      <c r="C226" s="13" t="s">
        <v>18</v>
      </c>
      <c r="D226" s="13" t="s">
        <v>32</v>
      </c>
      <c r="E226" s="2">
        <f t="shared" si="3"/>
        <v>49</v>
      </c>
      <c r="F226" s="1">
        <v>1977</v>
      </c>
      <c r="G226" s="3" t="s">
        <v>18</v>
      </c>
    </row>
    <row r="227" spans="1:7" ht="15.75" customHeight="1" x14ac:dyDescent="0.25">
      <c r="A227" s="11" t="s">
        <v>274</v>
      </c>
      <c r="B227" s="12" t="s">
        <v>12</v>
      </c>
      <c r="C227" s="13" t="s">
        <v>13</v>
      </c>
      <c r="D227" s="13" t="s">
        <v>3</v>
      </c>
      <c r="E227" s="2">
        <f t="shared" si="3"/>
        <v>52</v>
      </c>
      <c r="F227" s="1">
        <v>1974</v>
      </c>
      <c r="G227" s="3" t="s">
        <v>13</v>
      </c>
    </row>
    <row r="228" spans="1:7" ht="15.75" customHeight="1" x14ac:dyDescent="0.25">
      <c r="A228" s="11" t="s">
        <v>275</v>
      </c>
      <c r="B228" s="12" t="s">
        <v>12</v>
      </c>
      <c r="C228" s="13" t="s">
        <v>37</v>
      </c>
      <c r="D228" s="13" t="s">
        <v>8</v>
      </c>
      <c r="E228" s="2">
        <f t="shared" si="3"/>
        <v>50</v>
      </c>
      <c r="F228" s="1">
        <v>1976</v>
      </c>
      <c r="G228" s="3" t="s">
        <v>37</v>
      </c>
    </row>
    <row r="229" spans="1:7" ht="15.75" customHeight="1" x14ac:dyDescent="0.25">
      <c r="A229" s="11" t="s">
        <v>276</v>
      </c>
      <c r="B229" s="14" t="s">
        <v>17</v>
      </c>
      <c r="C229" s="13" t="s">
        <v>18</v>
      </c>
      <c r="D229" s="13" t="s">
        <v>3</v>
      </c>
      <c r="E229" s="2">
        <f t="shared" si="3"/>
        <v>43</v>
      </c>
      <c r="F229" s="1">
        <v>1983</v>
      </c>
      <c r="G229" s="3" t="s">
        <v>18</v>
      </c>
    </row>
    <row r="230" spans="1:7" ht="15.75" customHeight="1" x14ac:dyDescent="0.25">
      <c r="A230" s="11" t="s">
        <v>277</v>
      </c>
      <c r="B230" s="12" t="s">
        <v>12</v>
      </c>
      <c r="C230" s="13" t="s">
        <v>61</v>
      </c>
      <c r="D230" s="13" t="s">
        <v>32</v>
      </c>
      <c r="E230" s="2">
        <f t="shared" si="3"/>
        <v>38</v>
      </c>
      <c r="F230" s="1">
        <v>1988</v>
      </c>
      <c r="G230" s="3" t="s">
        <v>61</v>
      </c>
    </row>
    <row r="231" spans="1:7" ht="15.75" customHeight="1" x14ac:dyDescent="0.25">
      <c r="A231" s="11" t="s">
        <v>278</v>
      </c>
      <c r="B231" s="12" t="s">
        <v>12</v>
      </c>
      <c r="C231" s="13" t="s">
        <v>89</v>
      </c>
      <c r="D231" s="13" t="s">
        <v>8</v>
      </c>
      <c r="E231" s="2">
        <f t="shared" si="3"/>
        <v>47</v>
      </c>
      <c r="F231" s="1">
        <v>1979</v>
      </c>
      <c r="G231" s="3" t="s">
        <v>89</v>
      </c>
    </row>
    <row r="232" spans="1:7" ht="15.75" customHeight="1" x14ac:dyDescent="0.25">
      <c r="A232" s="11" t="s">
        <v>279</v>
      </c>
      <c r="B232" s="14" t="s">
        <v>17</v>
      </c>
      <c r="C232" s="13" t="s">
        <v>235</v>
      </c>
      <c r="D232" s="13" t="s">
        <v>3</v>
      </c>
      <c r="E232" s="2">
        <f t="shared" si="3"/>
        <v>56</v>
      </c>
      <c r="F232" s="1">
        <v>1970</v>
      </c>
      <c r="G232" s="3" t="s">
        <v>235</v>
      </c>
    </row>
  </sheetData>
  <mergeCells count="1">
    <mergeCell ref="A1:E1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16"/>
  <sheetViews>
    <sheetView zoomScale="80" zoomScaleNormal="80" workbookViewId="0">
      <selection activeCell="D17" sqref="D17"/>
    </sheetView>
  </sheetViews>
  <sheetFormatPr defaultColWidth="8.6640625" defaultRowHeight="13.8" x14ac:dyDescent="0.25"/>
  <cols>
    <col min="1" max="1" width="28" style="7" customWidth="1"/>
    <col min="2" max="4" width="15" style="7" customWidth="1"/>
    <col min="5" max="5" width="22" style="7" customWidth="1"/>
    <col min="6" max="16384" width="8.6640625" style="7"/>
  </cols>
  <sheetData>
    <row r="1" spans="1:14" ht="30" customHeight="1" x14ac:dyDescent="0.25">
      <c r="A1" s="52" t="s">
        <v>280</v>
      </c>
      <c r="B1" s="52"/>
      <c r="C1" s="52"/>
      <c r="D1" s="52"/>
      <c r="E1" s="52"/>
      <c r="F1" s="52"/>
      <c r="G1" s="52"/>
      <c r="H1" s="52"/>
      <c r="I1" s="52"/>
      <c r="J1" s="52"/>
      <c r="K1" s="52"/>
      <c r="L1" s="52"/>
      <c r="M1" s="52"/>
      <c r="N1" s="52"/>
    </row>
    <row r="2" spans="1:14" ht="21.75" customHeight="1" x14ac:dyDescent="0.3">
      <c r="A2" s="15" t="s">
        <v>281</v>
      </c>
      <c r="B2" s="15" t="s">
        <v>282</v>
      </c>
      <c r="C2" s="15" t="s">
        <v>283</v>
      </c>
      <c r="D2" s="15" t="s">
        <v>284</v>
      </c>
      <c r="E2" s="15" t="s">
        <v>285</v>
      </c>
      <c r="F2" s="16"/>
      <c r="G2" s="16"/>
      <c r="H2" s="16"/>
      <c r="I2" s="16"/>
      <c r="J2" s="16"/>
      <c r="K2" s="16"/>
      <c r="L2" s="16"/>
      <c r="M2" s="16"/>
      <c r="N2" s="16"/>
    </row>
    <row r="3" spans="1:14" ht="18" customHeight="1" x14ac:dyDescent="0.3">
      <c r="A3" s="17" t="s">
        <v>8</v>
      </c>
      <c r="B3" s="18">
        <v>65</v>
      </c>
      <c r="C3" s="19">
        <f>B3/B15</f>
        <v>0.28260869565217389</v>
      </c>
      <c r="D3" s="20">
        <v>25</v>
      </c>
      <c r="E3" s="21">
        <f t="shared" ref="E3:E10" si="0">D3/B3</f>
        <v>0.38461538461538464</v>
      </c>
      <c r="F3" s="16"/>
      <c r="G3" s="16"/>
      <c r="H3" s="16"/>
      <c r="I3" s="16"/>
      <c r="J3" s="16"/>
      <c r="K3" s="16"/>
      <c r="L3" s="16"/>
      <c r="M3" s="16"/>
      <c r="N3" s="16"/>
    </row>
    <row r="4" spans="1:14" ht="18" customHeight="1" x14ac:dyDescent="0.3">
      <c r="A4" s="22" t="s">
        <v>32</v>
      </c>
      <c r="B4" s="23">
        <v>60</v>
      </c>
      <c r="C4" s="24">
        <f>B4/B15</f>
        <v>0.2608695652173913</v>
      </c>
      <c r="D4" s="25">
        <v>16</v>
      </c>
      <c r="E4" s="26">
        <f t="shared" si="0"/>
        <v>0.26666666666666666</v>
      </c>
      <c r="F4" s="16"/>
      <c r="G4" s="16"/>
      <c r="H4" s="16"/>
      <c r="I4" s="16"/>
      <c r="J4" s="16"/>
      <c r="K4" s="16"/>
      <c r="L4" s="16"/>
      <c r="M4" s="16"/>
      <c r="N4" s="16"/>
    </row>
    <row r="5" spans="1:14" ht="18" customHeight="1" x14ac:dyDescent="0.3">
      <c r="A5" s="17" t="s">
        <v>3</v>
      </c>
      <c r="B5" s="18">
        <v>58</v>
      </c>
      <c r="C5" s="19">
        <f>B5/B15</f>
        <v>0.25217391304347825</v>
      </c>
      <c r="D5" s="20">
        <v>24</v>
      </c>
      <c r="E5" s="21">
        <f t="shared" si="0"/>
        <v>0.41379310344827586</v>
      </c>
      <c r="F5" s="16"/>
      <c r="G5" s="16"/>
      <c r="H5" s="16"/>
      <c r="I5" s="16"/>
      <c r="J5" s="16"/>
      <c r="K5" s="16"/>
      <c r="L5" s="16"/>
      <c r="M5" s="16"/>
      <c r="N5" s="16"/>
    </row>
    <row r="6" spans="1:14" ht="18" customHeight="1" x14ac:dyDescent="0.3">
      <c r="A6" s="22" t="s">
        <v>14</v>
      </c>
      <c r="B6" s="23">
        <v>24</v>
      </c>
      <c r="C6" s="24">
        <f>B6/B15</f>
        <v>0.10434782608695652</v>
      </c>
      <c r="D6" s="25">
        <v>11</v>
      </c>
      <c r="E6" s="26">
        <f t="shared" si="0"/>
        <v>0.45833333333333331</v>
      </c>
      <c r="F6" s="16"/>
      <c r="G6" s="16"/>
      <c r="H6" s="16"/>
      <c r="I6" s="16"/>
      <c r="J6" s="16"/>
      <c r="K6" s="16"/>
      <c r="L6" s="16"/>
      <c r="M6" s="16"/>
      <c r="N6" s="16"/>
    </row>
    <row r="7" spans="1:14" ht="18" customHeight="1" x14ac:dyDescent="0.3">
      <c r="A7" s="17" t="s">
        <v>42</v>
      </c>
      <c r="B7" s="18">
        <v>9</v>
      </c>
      <c r="C7" s="19">
        <f>B7/B15</f>
        <v>3.9130434782608699E-2</v>
      </c>
      <c r="D7" s="20">
        <v>6</v>
      </c>
      <c r="E7" s="21">
        <f t="shared" si="0"/>
        <v>0.66666666666666663</v>
      </c>
      <c r="F7" s="16"/>
      <c r="G7" s="16"/>
      <c r="H7" s="16"/>
      <c r="I7" s="16"/>
      <c r="J7" s="16"/>
      <c r="K7" s="16"/>
      <c r="L7" s="16"/>
      <c r="M7" s="16"/>
      <c r="N7" s="16"/>
    </row>
    <row r="8" spans="1:14" ht="18" customHeight="1" x14ac:dyDescent="0.3">
      <c r="A8" s="22" t="s">
        <v>5</v>
      </c>
      <c r="B8" s="23">
        <v>6</v>
      </c>
      <c r="C8" s="24">
        <f>B8/B15</f>
        <v>2.6086956521739129E-2</v>
      </c>
      <c r="D8" s="25">
        <v>3</v>
      </c>
      <c r="E8" s="26">
        <f t="shared" si="0"/>
        <v>0.5</v>
      </c>
      <c r="F8" s="16"/>
      <c r="G8" s="16"/>
      <c r="H8" s="16"/>
      <c r="I8" s="16"/>
      <c r="J8" s="16"/>
      <c r="K8" s="16"/>
      <c r="L8" s="16"/>
      <c r="M8" s="16"/>
      <c r="N8" s="16"/>
    </row>
    <row r="9" spans="1:14" ht="18" customHeight="1" x14ac:dyDescent="0.3">
      <c r="A9" s="17" t="s">
        <v>147</v>
      </c>
      <c r="B9" s="18">
        <v>2</v>
      </c>
      <c r="C9" s="19">
        <f>B9/B15</f>
        <v>8.6956521739130436E-3</v>
      </c>
      <c r="D9" s="20">
        <v>1</v>
      </c>
      <c r="E9" s="21">
        <f t="shared" si="0"/>
        <v>0.5</v>
      </c>
      <c r="F9" s="16"/>
      <c r="G9" s="16"/>
      <c r="H9" s="16"/>
      <c r="I9" s="16"/>
      <c r="J9" s="16"/>
      <c r="K9" s="16"/>
      <c r="L9" s="16"/>
      <c r="M9" s="16"/>
      <c r="N9" s="16"/>
    </row>
    <row r="10" spans="1:14" ht="18" customHeight="1" x14ac:dyDescent="0.3">
      <c r="A10" s="22" t="s">
        <v>214</v>
      </c>
      <c r="B10" s="23">
        <v>2</v>
      </c>
      <c r="C10" s="24">
        <f>B10/B15</f>
        <v>8.6956521739130436E-3</v>
      </c>
      <c r="D10" s="25">
        <v>1</v>
      </c>
      <c r="E10" s="26">
        <f t="shared" si="0"/>
        <v>0.5</v>
      </c>
      <c r="F10" s="16"/>
      <c r="G10" s="16"/>
      <c r="H10" s="16"/>
      <c r="I10" s="16"/>
      <c r="J10" s="16"/>
      <c r="K10" s="16"/>
      <c r="L10" s="16"/>
      <c r="M10" s="16"/>
      <c r="N10" s="16"/>
    </row>
    <row r="11" spans="1:14" ht="18" customHeight="1" x14ac:dyDescent="0.3">
      <c r="A11" s="17" t="s">
        <v>23</v>
      </c>
      <c r="B11" s="18">
        <v>1</v>
      </c>
      <c r="C11" s="19">
        <f>B11/B15</f>
        <v>4.3478260869565218E-3</v>
      </c>
      <c r="D11" s="27">
        <v>0</v>
      </c>
      <c r="E11" s="28">
        <v>0</v>
      </c>
      <c r="F11" s="16"/>
      <c r="G11" s="16"/>
      <c r="H11" s="16"/>
      <c r="I11" s="16"/>
      <c r="J11" s="16"/>
      <c r="K11" s="16"/>
      <c r="L11" s="16"/>
      <c r="M11" s="16"/>
      <c r="N11" s="16"/>
    </row>
    <row r="12" spans="1:14" ht="18" customHeight="1" x14ac:dyDescent="0.3">
      <c r="A12" s="22" t="s">
        <v>96</v>
      </c>
      <c r="B12" s="23">
        <v>1</v>
      </c>
      <c r="C12" s="24">
        <f>B12/B15</f>
        <v>4.3478260869565218E-3</v>
      </c>
      <c r="D12" s="25">
        <v>1</v>
      </c>
      <c r="E12" s="26">
        <f>D12/B12</f>
        <v>1</v>
      </c>
      <c r="F12" s="16"/>
      <c r="G12" s="16"/>
      <c r="H12" s="16"/>
      <c r="I12" s="16"/>
      <c r="J12" s="16"/>
      <c r="K12" s="16"/>
      <c r="L12" s="16"/>
      <c r="M12" s="16"/>
      <c r="N12" s="16"/>
    </row>
    <row r="13" spans="1:14" ht="18" customHeight="1" x14ac:dyDescent="0.3">
      <c r="A13" s="17" t="s">
        <v>102</v>
      </c>
      <c r="B13" s="18">
        <v>1</v>
      </c>
      <c r="C13" s="19">
        <f>B13/B15</f>
        <v>4.3478260869565218E-3</v>
      </c>
      <c r="D13" s="27">
        <v>0</v>
      </c>
      <c r="E13" s="28">
        <v>0</v>
      </c>
      <c r="F13" s="16"/>
      <c r="G13" s="16"/>
      <c r="H13" s="16"/>
      <c r="I13" s="16"/>
      <c r="J13" s="16"/>
      <c r="K13" s="16"/>
      <c r="L13" s="16"/>
      <c r="M13" s="16"/>
      <c r="N13" s="16"/>
    </row>
    <row r="14" spans="1:14" ht="18" customHeight="1" x14ac:dyDescent="0.3">
      <c r="A14" s="22" t="s">
        <v>132</v>
      </c>
      <c r="B14" s="23">
        <v>1</v>
      </c>
      <c r="C14" s="24">
        <f>B14/B15</f>
        <v>4.3478260869565218E-3</v>
      </c>
      <c r="D14" s="29">
        <v>0</v>
      </c>
      <c r="E14" s="30">
        <v>0</v>
      </c>
      <c r="F14" s="16"/>
      <c r="G14" s="16"/>
      <c r="H14" s="16"/>
      <c r="I14" s="16"/>
      <c r="J14" s="16"/>
      <c r="K14" s="16"/>
      <c r="L14" s="16"/>
      <c r="M14" s="16"/>
      <c r="N14" s="16"/>
    </row>
    <row r="15" spans="1:14" ht="19.5" customHeight="1" x14ac:dyDescent="0.3">
      <c r="A15" s="31" t="s">
        <v>286</v>
      </c>
      <c r="B15" s="31">
        <f>SUM(B3:B14)</f>
        <v>230</v>
      </c>
      <c r="C15" s="32">
        <f>SUM(C3:C14)</f>
        <v>0.99999999999999967</v>
      </c>
      <c r="D15" s="31">
        <f>SUM(D3:D14)</f>
        <v>88</v>
      </c>
      <c r="E15" s="32">
        <f>D15/B15</f>
        <v>0.38260869565217392</v>
      </c>
      <c r="F15" s="16"/>
      <c r="G15" s="16"/>
      <c r="H15" s="16"/>
      <c r="I15" s="16"/>
      <c r="J15" s="16"/>
      <c r="K15" s="16"/>
      <c r="L15" s="16"/>
      <c r="M15" s="16"/>
      <c r="N15" s="16"/>
    </row>
    <row r="16" spans="1:14" ht="31.5" customHeight="1" x14ac:dyDescent="0.3">
      <c r="A16" s="53" t="s">
        <v>287</v>
      </c>
      <c r="B16" s="53"/>
      <c r="C16" s="53"/>
      <c r="D16" s="53"/>
      <c r="E16" s="53"/>
      <c r="F16" s="16"/>
      <c r="G16" s="16"/>
      <c r="H16" s="16"/>
      <c r="I16" s="16"/>
      <c r="J16" s="16"/>
      <c r="K16" s="16"/>
      <c r="L16" s="16"/>
      <c r="M16" s="16"/>
      <c r="N16" s="16"/>
    </row>
  </sheetData>
  <mergeCells count="2">
    <mergeCell ref="A1:N1"/>
    <mergeCell ref="A16:E16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R30"/>
  <sheetViews>
    <sheetView zoomScale="78" zoomScaleNormal="78" workbookViewId="0">
      <selection activeCell="B4" sqref="B4"/>
    </sheetView>
  </sheetViews>
  <sheetFormatPr defaultColWidth="8.6640625" defaultRowHeight="14.4" x14ac:dyDescent="0.3"/>
  <cols>
    <col min="1" max="1" width="26" customWidth="1"/>
    <col min="2" max="2" width="22" customWidth="1"/>
    <col min="3" max="3" width="18" customWidth="1"/>
  </cols>
  <sheetData>
    <row r="1" spans="1:18" ht="30" customHeight="1" x14ac:dyDescent="0.3">
      <c r="A1" s="54" t="s">
        <v>306</v>
      </c>
      <c r="B1" s="54"/>
      <c r="C1" s="54"/>
      <c r="D1" s="54"/>
      <c r="E1" s="54"/>
      <c r="F1" s="54"/>
      <c r="G1" s="54"/>
      <c r="H1" s="54"/>
      <c r="I1" s="54"/>
      <c r="J1" s="54"/>
      <c r="K1" s="54"/>
      <c r="L1" s="54"/>
      <c r="M1" s="54"/>
      <c r="N1" s="54"/>
      <c r="O1" s="37"/>
      <c r="P1" s="37"/>
      <c r="Q1" s="37"/>
      <c r="R1" s="37"/>
    </row>
    <row r="2" spans="1:18" ht="21.75" customHeight="1" x14ac:dyDescent="0.3">
      <c r="A2" s="38" t="s">
        <v>9</v>
      </c>
      <c r="B2" s="38" t="s">
        <v>288</v>
      </c>
      <c r="C2" s="38" t="s">
        <v>283</v>
      </c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37"/>
      <c r="P2" s="37"/>
      <c r="Q2" s="37"/>
      <c r="R2" s="37"/>
    </row>
    <row r="3" spans="1:18" ht="24" customHeight="1" x14ac:dyDescent="0.3">
      <c r="A3" s="33" t="s">
        <v>289</v>
      </c>
      <c r="B3" s="34">
        <v>142</v>
      </c>
      <c r="C3" s="35">
        <f>B3/B5</f>
        <v>0.61739130434782608</v>
      </c>
      <c r="D3" s="16"/>
      <c r="E3" s="16"/>
      <c r="F3" s="16"/>
      <c r="G3" s="16"/>
      <c r="H3" s="16"/>
      <c r="I3" s="16"/>
      <c r="J3" s="16"/>
      <c r="K3" s="16"/>
      <c r="L3" s="16"/>
      <c r="M3" s="16"/>
      <c r="N3" s="16"/>
      <c r="O3" s="37"/>
      <c r="P3" s="37"/>
      <c r="Q3" s="37"/>
      <c r="R3" s="37"/>
    </row>
    <row r="4" spans="1:18" ht="24" customHeight="1" x14ac:dyDescent="0.3">
      <c r="A4" s="36" t="s">
        <v>290</v>
      </c>
      <c r="B4" s="34">
        <v>88</v>
      </c>
      <c r="C4" s="35">
        <f>B4/B5</f>
        <v>0.38260869565217392</v>
      </c>
      <c r="D4" s="16"/>
      <c r="E4" s="16"/>
      <c r="F4" s="16"/>
      <c r="G4" s="16"/>
      <c r="H4" s="16"/>
      <c r="I4" s="16"/>
      <c r="J4" s="16"/>
      <c r="K4" s="16"/>
      <c r="L4" s="16"/>
      <c r="M4" s="16"/>
      <c r="N4" s="16"/>
      <c r="O4" s="37"/>
      <c r="P4" s="37"/>
      <c r="Q4" s="37"/>
      <c r="R4" s="37"/>
    </row>
    <row r="5" spans="1:18" ht="19.5" customHeight="1" x14ac:dyDescent="0.3">
      <c r="A5" s="39" t="s">
        <v>286</v>
      </c>
      <c r="B5" s="39">
        <f>SUM(B3:B4)</f>
        <v>230</v>
      </c>
      <c r="C5" s="40">
        <f>SUM(C3:C4)</f>
        <v>1</v>
      </c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  <c r="O5" s="37"/>
      <c r="P5" s="37"/>
      <c r="Q5" s="37"/>
      <c r="R5" s="37"/>
    </row>
    <row r="6" spans="1:18" ht="43.5" customHeight="1" x14ac:dyDescent="0.3">
      <c r="A6" s="55" t="s">
        <v>291</v>
      </c>
      <c r="B6" s="55"/>
      <c r="C6" s="55"/>
      <c r="D6" s="16"/>
      <c r="E6" s="16"/>
      <c r="F6" s="16"/>
      <c r="G6" s="16"/>
      <c r="H6" s="16"/>
      <c r="I6" s="16"/>
      <c r="J6" s="16"/>
      <c r="K6" s="16"/>
      <c r="L6" s="16"/>
      <c r="M6" s="16"/>
      <c r="N6" s="16"/>
      <c r="O6" s="37"/>
      <c r="P6" s="37"/>
      <c r="Q6" s="37"/>
      <c r="R6" s="37"/>
    </row>
    <row r="7" spans="1:18" ht="15.6" x14ac:dyDescent="0.3">
      <c r="A7" s="16"/>
      <c r="B7" s="16"/>
      <c r="C7" s="16"/>
      <c r="D7" s="16"/>
      <c r="E7" s="16"/>
      <c r="F7" s="16"/>
      <c r="G7" s="16"/>
      <c r="H7" s="16"/>
      <c r="I7" s="16"/>
      <c r="J7" s="16"/>
      <c r="K7" s="16"/>
      <c r="L7" s="16"/>
      <c r="M7" s="16"/>
      <c r="N7" s="16"/>
      <c r="O7" s="37"/>
      <c r="P7" s="37"/>
      <c r="Q7" s="37"/>
      <c r="R7" s="37"/>
    </row>
    <row r="8" spans="1:18" ht="15.6" x14ac:dyDescent="0.3">
      <c r="A8" s="16"/>
      <c r="B8" s="16"/>
      <c r="C8" s="16"/>
      <c r="D8" s="16"/>
      <c r="E8" s="16"/>
      <c r="F8" s="16"/>
      <c r="G8" s="16"/>
      <c r="H8" s="16"/>
      <c r="I8" s="16"/>
      <c r="J8" s="16"/>
      <c r="K8" s="16"/>
      <c r="L8" s="16"/>
      <c r="M8" s="16"/>
      <c r="N8" s="16"/>
      <c r="O8" s="37"/>
      <c r="P8" s="37"/>
      <c r="Q8" s="37"/>
      <c r="R8" s="37"/>
    </row>
    <row r="9" spans="1:18" ht="15.6" x14ac:dyDescent="0.3">
      <c r="A9" s="16"/>
      <c r="B9" s="16"/>
      <c r="C9" s="16"/>
      <c r="D9" s="16"/>
      <c r="E9" s="16"/>
      <c r="F9" s="16"/>
      <c r="G9" s="16"/>
      <c r="H9" s="16"/>
      <c r="I9" s="16"/>
      <c r="J9" s="16"/>
      <c r="K9" s="16"/>
      <c r="L9" s="16"/>
      <c r="M9" s="16"/>
      <c r="N9" s="16"/>
      <c r="O9" s="37"/>
      <c r="P9" s="37"/>
      <c r="Q9" s="37"/>
      <c r="R9" s="37"/>
    </row>
    <row r="10" spans="1:18" ht="15.6" x14ac:dyDescent="0.3">
      <c r="A10" s="16"/>
      <c r="B10" s="16"/>
      <c r="C10" s="16"/>
      <c r="D10" s="16"/>
      <c r="E10" s="16"/>
      <c r="F10" s="16"/>
      <c r="G10" s="16"/>
      <c r="H10" s="16"/>
      <c r="I10" s="16"/>
      <c r="J10" s="16"/>
      <c r="K10" s="16"/>
      <c r="L10" s="16"/>
      <c r="M10" s="16"/>
      <c r="N10" s="16"/>
      <c r="O10" s="37"/>
      <c r="P10" s="37"/>
      <c r="Q10" s="37"/>
      <c r="R10" s="37"/>
    </row>
    <row r="11" spans="1:18" ht="15.6" x14ac:dyDescent="0.3">
      <c r="A11" s="16"/>
      <c r="B11" s="16"/>
      <c r="C11" s="16"/>
      <c r="D11" s="16"/>
      <c r="E11" s="16"/>
      <c r="F11" s="16"/>
      <c r="G11" s="16"/>
      <c r="H11" s="16"/>
      <c r="I11" s="16"/>
      <c r="J11" s="16"/>
      <c r="K11" s="16"/>
      <c r="L11" s="16"/>
      <c r="M11" s="16"/>
      <c r="N11" s="16"/>
      <c r="O11" s="37"/>
      <c r="P11" s="37"/>
      <c r="Q11" s="37"/>
      <c r="R11" s="37"/>
    </row>
    <row r="12" spans="1:18" ht="15.6" x14ac:dyDescent="0.3">
      <c r="A12" s="16"/>
      <c r="B12" s="16"/>
      <c r="C12" s="16"/>
      <c r="D12" s="16"/>
      <c r="E12" s="16"/>
      <c r="F12" s="16"/>
      <c r="G12" s="16"/>
      <c r="H12" s="16"/>
      <c r="I12" s="16"/>
      <c r="J12" s="16"/>
      <c r="K12" s="16"/>
      <c r="L12" s="16"/>
      <c r="M12" s="16"/>
      <c r="N12" s="16"/>
      <c r="O12" s="37"/>
      <c r="P12" s="37"/>
      <c r="Q12" s="37"/>
      <c r="R12" s="37"/>
    </row>
    <row r="13" spans="1:18" ht="15.6" x14ac:dyDescent="0.3">
      <c r="A13" s="16"/>
      <c r="B13" s="16"/>
      <c r="C13" s="16"/>
      <c r="D13" s="16"/>
      <c r="E13" s="16"/>
      <c r="F13" s="16"/>
      <c r="G13" s="16"/>
      <c r="H13" s="16"/>
      <c r="I13" s="16"/>
      <c r="J13" s="16"/>
      <c r="K13" s="16"/>
      <c r="L13" s="16"/>
      <c r="M13" s="16"/>
      <c r="N13" s="16"/>
      <c r="O13" s="37"/>
      <c r="P13" s="37"/>
      <c r="Q13" s="37"/>
      <c r="R13" s="37"/>
    </row>
    <row r="14" spans="1:18" ht="15.6" x14ac:dyDescent="0.3">
      <c r="A14" s="16"/>
      <c r="B14" s="16"/>
      <c r="C14" s="16"/>
      <c r="D14" s="16"/>
      <c r="E14" s="16"/>
      <c r="F14" s="16"/>
      <c r="G14" s="16"/>
      <c r="H14" s="16"/>
      <c r="I14" s="16"/>
      <c r="J14" s="16"/>
      <c r="K14" s="16"/>
      <c r="L14" s="16"/>
      <c r="M14" s="16"/>
      <c r="N14" s="16"/>
      <c r="O14" s="37"/>
      <c r="P14" s="37"/>
      <c r="Q14" s="37"/>
      <c r="R14" s="37"/>
    </row>
    <row r="15" spans="1:18" ht="15.6" x14ac:dyDescent="0.3">
      <c r="A15" s="16"/>
      <c r="B15" s="16"/>
      <c r="C15" s="16"/>
      <c r="D15" s="16"/>
      <c r="E15" s="16"/>
      <c r="F15" s="16"/>
      <c r="G15" s="16"/>
      <c r="H15" s="16"/>
      <c r="I15" s="16"/>
      <c r="J15" s="16"/>
      <c r="K15" s="16"/>
      <c r="L15" s="16"/>
      <c r="M15" s="16"/>
      <c r="N15" s="16"/>
      <c r="O15" s="37"/>
      <c r="P15" s="37"/>
      <c r="Q15" s="37"/>
      <c r="R15" s="37"/>
    </row>
    <row r="16" spans="1:18" ht="15.6" x14ac:dyDescent="0.3">
      <c r="A16" s="16"/>
      <c r="B16" s="16"/>
      <c r="C16" s="16"/>
      <c r="D16" s="16"/>
      <c r="E16" s="16"/>
      <c r="F16" s="16"/>
      <c r="G16" s="16"/>
      <c r="H16" s="16"/>
      <c r="I16" s="16"/>
      <c r="J16" s="16"/>
      <c r="K16" s="16"/>
      <c r="L16" s="16"/>
      <c r="M16" s="16"/>
      <c r="N16" s="16"/>
      <c r="O16" s="37"/>
      <c r="P16" s="37"/>
      <c r="Q16" s="37"/>
      <c r="R16" s="37"/>
    </row>
    <row r="17" spans="1:18" ht="15.6" x14ac:dyDescent="0.3">
      <c r="A17" s="16"/>
      <c r="B17" s="16"/>
      <c r="C17" s="16"/>
      <c r="D17" s="16"/>
      <c r="E17" s="16"/>
      <c r="F17" s="16"/>
      <c r="G17" s="16"/>
      <c r="H17" s="16"/>
      <c r="I17" s="16"/>
      <c r="J17" s="16"/>
      <c r="K17" s="16"/>
      <c r="L17" s="16"/>
      <c r="M17" s="16"/>
      <c r="N17" s="16"/>
      <c r="O17" s="37"/>
      <c r="P17" s="37"/>
      <c r="Q17" s="37"/>
      <c r="R17" s="37"/>
    </row>
    <row r="18" spans="1:18" ht="15.6" x14ac:dyDescent="0.3">
      <c r="A18" s="16"/>
      <c r="B18" s="16"/>
      <c r="C18" s="16"/>
      <c r="D18" s="16"/>
      <c r="E18" s="16"/>
      <c r="F18" s="16"/>
      <c r="G18" s="16"/>
      <c r="H18" s="16"/>
      <c r="I18" s="16"/>
      <c r="J18" s="16"/>
      <c r="K18" s="16"/>
      <c r="L18" s="16"/>
      <c r="M18" s="16"/>
      <c r="N18" s="16"/>
      <c r="O18" s="37"/>
      <c r="P18" s="37"/>
      <c r="Q18" s="37"/>
      <c r="R18" s="37"/>
    </row>
    <row r="19" spans="1:18" ht="15.6" x14ac:dyDescent="0.3">
      <c r="A19" s="16"/>
      <c r="B19" s="16"/>
      <c r="C19" s="16"/>
      <c r="D19" s="16"/>
      <c r="E19" s="16"/>
      <c r="F19" s="16"/>
      <c r="G19" s="16"/>
      <c r="H19" s="16"/>
      <c r="I19" s="16"/>
      <c r="J19" s="16"/>
      <c r="K19" s="16"/>
      <c r="L19" s="16"/>
      <c r="M19" s="16"/>
      <c r="N19" s="16"/>
      <c r="O19" s="37"/>
      <c r="P19" s="37"/>
      <c r="Q19" s="37"/>
      <c r="R19" s="37"/>
    </row>
    <row r="20" spans="1:18" ht="15.6" x14ac:dyDescent="0.3">
      <c r="A20" s="16"/>
      <c r="B20" s="16"/>
      <c r="C20" s="16"/>
      <c r="D20" s="16"/>
      <c r="E20" s="16"/>
      <c r="F20" s="16"/>
      <c r="G20" s="16"/>
      <c r="H20" s="16"/>
      <c r="I20" s="16"/>
      <c r="J20" s="16"/>
      <c r="K20" s="16"/>
      <c r="L20" s="16"/>
      <c r="M20" s="16"/>
      <c r="N20" s="16"/>
      <c r="O20" s="37"/>
      <c r="P20" s="37"/>
      <c r="Q20" s="37"/>
      <c r="R20" s="37"/>
    </row>
    <row r="21" spans="1:18" ht="15.6" x14ac:dyDescent="0.3">
      <c r="A21" s="16"/>
      <c r="B21" s="16"/>
      <c r="C21" s="16"/>
      <c r="D21" s="16"/>
      <c r="E21" s="16"/>
      <c r="F21" s="16"/>
      <c r="G21" s="16"/>
      <c r="H21" s="16"/>
      <c r="I21" s="16"/>
      <c r="J21" s="16"/>
      <c r="K21" s="16"/>
      <c r="L21" s="16"/>
      <c r="M21" s="16"/>
      <c r="N21" s="16"/>
      <c r="O21" s="37"/>
      <c r="P21" s="37"/>
      <c r="Q21" s="37"/>
      <c r="R21" s="37"/>
    </row>
    <row r="22" spans="1:18" ht="15.6" x14ac:dyDescent="0.3">
      <c r="A22" s="16"/>
      <c r="B22" s="16"/>
      <c r="C22" s="16"/>
      <c r="D22" s="16"/>
      <c r="E22" s="16"/>
      <c r="F22" s="16"/>
      <c r="G22" s="16"/>
      <c r="H22" s="16"/>
      <c r="I22" s="16"/>
      <c r="J22" s="16"/>
      <c r="K22" s="16"/>
      <c r="L22" s="16"/>
      <c r="M22" s="16"/>
      <c r="N22" s="16"/>
      <c r="O22" s="37"/>
      <c r="P22" s="37"/>
      <c r="Q22" s="37"/>
      <c r="R22" s="37"/>
    </row>
    <row r="23" spans="1:18" ht="15.6" x14ac:dyDescent="0.3">
      <c r="A23" s="16"/>
      <c r="B23" s="16"/>
      <c r="C23" s="16"/>
      <c r="D23" s="16"/>
      <c r="E23" s="16"/>
      <c r="F23" s="16"/>
      <c r="G23" s="16"/>
      <c r="H23" s="16"/>
      <c r="I23" s="16"/>
      <c r="J23" s="16"/>
      <c r="K23" s="16"/>
      <c r="L23" s="16"/>
      <c r="M23" s="16"/>
      <c r="N23" s="16"/>
      <c r="O23" s="37"/>
      <c r="P23" s="37"/>
      <c r="Q23" s="37"/>
      <c r="R23" s="37"/>
    </row>
    <row r="24" spans="1:18" ht="15.6" x14ac:dyDescent="0.3">
      <c r="A24" s="16"/>
      <c r="B24" s="16"/>
      <c r="C24" s="16"/>
      <c r="D24" s="16"/>
      <c r="E24" s="16"/>
      <c r="F24" s="16"/>
      <c r="G24" s="16"/>
      <c r="H24" s="16"/>
      <c r="I24" s="16"/>
      <c r="J24" s="16"/>
      <c r="K24" s="16"/>
      <c r="L24" s="16"/>
      <c r="M24" s="16"/>
      <c r="N24" s="16"/>
      <c r="O24" s="37"/>
      <c r="P24" s="37"/>
      <c r="Q24" s="37"/>
      <c r="R24" s="37"/>
    </row>
    <row r="25" spans="1:18" ht="15.6" x14ac:dyDescent="0.3">
      <c r="A25" s="16"/>
      <c r="B25" s="16"/>
      <c r="C25" s="16"/>
      <c r="D25" s="16"/>
      <c r="E25" s="16"/>
      <c r="F25" s="16"/>
      <c r="G25" s="16"/>
      <c r="H25" s="16"/>
      <c r="I25" s="16"/>
      <c r="J25" s="16"/>
      <c r="K25" s="16"/>
      <c r="L25" s="16"/>
      <c r="M25" s="16"/>
      <c r="N25" s="16"/>
      <c r="O25" s="37"/>
      <c r="P25" s="37"/>
      <c r="Q25" s="37"/>
      <c r="R25" s="37"/>
    </row>
    <row r="26" spans="1:18" ht="15.6" x14ac:dyDescent="0.3">
      <c r="A26" s="37"/>
      <c r="B26" s="37"/>
      <c r="C26" s="37"/>
      <c r="D26" s="37"/>
      <c r="E26" s="37"/>
      <c r="F26" s="37"/>
      <c r="G26" s="37"/>
      <c r="H26" s="37"/>
      <c r="I26" s="37"/>
      <c r="J26" s="37"/>
      <c r="K26" s="37"/>
      <c r="L26" s="37"/>
      <c r="M26" s="37"/>
      <c r="N26" s="37"/>
      <c r="O26" s="37"/>
      <c r="P26" s="37"/>
      <c r="Q26" s="37"/>
      <c r="R26" s="37"/>
    </row>
    <row r="27" spans="1:18" ht="15.6" x14ac:dyDescent="0.3">
      <c r="A27" s="37"/>
      <c r="B27" s="37"/>
      <c r="C27" s="37"/>
      <c r="D27" s="37"/>
      <c r="E27" s="37"/>
      <c r="F27" s="37"/>
      <c r="G27" s="37"/>
      <c r="H27" s="37"/>
      <c r="I27" s="37"/>
      <c r="J27" s="37"/>
      <c r="K27" s="37"/>
      <c r="L27" s="37"/>
      <c r="M27" s="37"/>
      <c r="N27" s="37"/>
      <c r="O27" s="37"/>
      <c r="P27" s="37"/>
      <c r="Q27" s="37"/>
      <c r="R27" s="37"/>
    </row>
    <row r="28" spans="1:18" ht="15.6" x14ac:dyDescent="0.3">
      <c r="A28" s="37"/>
      <c r="B28" s="37"/>
      <c r="C28" s="37"/>
      <c r="D28" s="37"/>
      <c r="E28" s="37"/>
      <c r="F28" s="37"/>
      <c r="G28" s="37"/>
      <c r="H28" s="37"/>
      <c r="I28" s="37"/>
      <c r="J28" s="37"/>
      <c r="K28" s="37"/>
      <c r="L28" s="37"/>
      <c r="M28" s="37"/>
      <c r="N28" s="37"/>
      <c r="O28" s="37"/>
      <c r="P28" s="37"/>
      <c r="Q28" s="37"/>
      <c r="R28" s="37"/>
    </row>
    <row r="29" spans="1:18" ht="15.6" x14ac:dyDescent="0.3">
      <c r="A29" s="37"/>
      <c r="B29" s="37"/>
      <c r="C29" s="37"/>
      <c r="D29" s="37"/>
      <c r="E29" s="37"/>
      <c r="F29" s="37"/>
      <c r="G29" s="37"/>
      <c r="H29" s="37"/>
      <c r="I29" s="37"/>
      <c r="J29" s="37"/>
      <c r="K29" s="37"/>
      <c r="L29" s="37"/>
      <c r="M29" s="37"/>
      <c r="N29" s="37"/>
      <c r="O29" s="37"/>
      <c r="P29" s="37"/>
      <c r="Q29" s="37"/>
      <c r="R29" s="37"/>
    </row>
    <row r="30" spans="1:18" ht="15.6" x14ac:dyDescent="0.3">
      <c r="A30" s="37"/>
      <c r="B30" s="37"/>
      <c r="C30" s="37"/>
      <c r="D30" s="37"/>
      <c r="E30" s="37"/>
      <c r="F30" s="37"/>
      <c r="G30" s="37"/>
      <c r="H30" s="37"/>
      <c r="I30" s="37"/>
      <c r="J30" s="37"/>
      <c r="K30" s="37"/>
      <c r="L30" s="37"/>
      <c r="M30" s="37"/>
      <c r="N30" s="37"/>
      <c r="O30" s="37"/>
      <c r="P30" s="37"/>
      <c r="Q30" s="37"/>
      <c r="R30" s="37"/>
    </row>
  </sheetData>
  <mergeCells count="2">
    <mergeCell ref="A1:N1"/>
    <mergeCell ref="A6:C6"/>
  </mergeCells>
  <pageMargins left="0.75" right="0.75" top="1" bottom="1" header="0.511811023622047" footer="0.511811023622047"/>
  <pageSetup paperSize="9" orientation="portrait" horizontalDpi="300" verticalDpi="30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N37"/>
  <sheetViews>
    <sheetView zoomScale="60" zoomScaleNormal="60" workbookViewId="0">
      <selection activeCell="AH24" sqref="AH24"/>
    </sheetView>
  </sheetViews>
  <sheetFormatPr defaultColWidth="8.6640625" defaultRowHeight="14.4" x14ac:dyDescent="0.3"/>
  <cols>
    <col min="1" max="1" width="20" customWidth="1"/>
    <col min="2" max="3" width="14" customWidth="1"/>
    <col min="4" max="4" width="20" customWidth="1"/>
  </cols>
  <sheetData>
    <row r="1" spans="1:14" ht="30" customHeight="1" x14ac:dyDescent="0.3">
      <c r="A1" s="60" t="s">
        <v>307</v>
      </c>
      <c r="B1" s="60"/>
      <c r="C1" s="60"/>
      <c r="D1" s="60"/>
      <c r="E1" s="60"/>
      <c r="F1" s="60"/>
      <c r="G1" s="60"/>
      <c r="H1" s="60"/>
      <c r="I1" s="60"/>
      <c r="J1" s="60"/>
      <c r="K1" s="60"/>
      <c r="L1" s="60"/>
      <c r="M1" s="60"/>
      <c r="N1" s="60"/>
    </row>
    <row r="2" spans="1:14" ht="30" customHeight="1" x14ac:dyDescent="0.3">
      <c r="A2" s="61" t="s">
        <v>292</v>
      </c>
      <c r="B2" s="61"/>
      <c r="C2" s="61"/>
      <c r="D2" s="61"/>
      <c r="E2" s="61"/>
      <c r="F2" s="61"/>
      <c r="G2" s="61"/>
      <c r="H2" s="61"/>
      <c r="I2" s="61"/>
      <c r="J2" s="61"/>
      <c r="K2" s="61"/>
      <c r="L2" s="61"/>
      <c r="M2" s="61"/>
      <c r="N2" s="61"/>
    </row>
    <row r="3" spans="1:14" ht="43.5" customHeight="1" x14ac:dyDescent="0.3">
      <c r="A3" s="62" t="s">
        <v>293</v>
      </c>
      <c r="B3" s="62"/>
      <c r="C3" s="62"/>
      <c r="D3" s="62"/>
      <c r="E3" s="7"/>
      <c r="F3" s="7"/>
      <c r="G3" s="7"/>
      <c r="H3" s="7"/>
      <c r="I3" s="7"/>
      <c r="J3" s="7"/>
      <c r="K3" s="7"/>
      <c r="L3" s="7"/>
      <c r="M3" s="7"/>
      <c r="N3" s="7"/>
    </row>
    <row r="4" spans="1:14" ht="21.75" customHeight="1" x14ac:dyDescent="0.3">
      <c r="A4" s="41" t="s">
        <v>294</v>
      </c>
      <c r="B4" s="41" t="s">
        <v>295</v>
      </c>
      <c r="C4" s="41" t="s">
        <v>296</v>
      </c>
      <c r="D4" s="41" t="s">
        <v>284</v>
      </c>
      <c r="E4" s="7"/>
      <c r="F4" s="7"/>
      <c r="G4" s="7"/>
      <c r="H4" s="7"/>
      <c r="I4" s="7"/>
      <c r="J4" s="7"/>
      <c r="K4" s="7"/>
      <c r="L4" s="7"/>
      <c r="M4" s="7"/>
      <c r="N4" s="7"/>
    </row>
    <row r="5" spans="1:14" ht="18" customHeight="1" x14ac:dyDescent="0.3">
      <c r="A5" s="42" t="s">
        <v>297</v>
      </c>
      <c r="B5" s="43">
        <v>0.33</v>
      </c>
      <c r="C5" s="43">
        <v>0.67</v>
      </c>
      <c r="D5" s="44">
        <v>76</v>
      </c>
      <c r="E5" s="7"/>
      <c r="F5" s="7"/>
      <c r="G5" s="7"/>
      <c r="H5" s="7"/>
      <c r="I5" s="7"/>
      <c r="J5" s="7"/>
      <c r="K5" s="7"/>
      <c r="L5" s="7"/>
      <c r="M5" s="7"/>
      <c r="N5" s="7"/>
    </row>
    <row r="6" spans="1:14" ht="18" customHeight="1" x14ac:dyDescent="0.3">
      <c r="A6" s="45" t="s">
        <v>298</v>
      </c>
      <c r="B6" s="46">
        <v>0.38700000000000001</v>
      </c>
      <c r="C6" s="46">
        <v>0.61299999999999999</v>
      </c>
      <c r="D6" s="47">
        <v>89</v>
      </c>
      <c r="E6" s="7"/>
      <c r="F6" s="7"/>
      <c r="G6" s="7"/>
      <c r="H6" s="7"/>
      <c r="I6" s="7"/>
      <c r="J6" s="7"/>
      <c r="K6" s="7"/>
      <c r="L6" s="7"/>
      <c r="M6" s="7"/>
      <c r="N6" s="7"/>
    </row>
    <row r="7" spans="1:14" ht="18" customHeight="1" x14ac:dyDescent="0.3">
      <c r="A7" s="42" t="s">
        <v>299</v>
      </c>
      <c r="B7" s="43">
        <v>0.37</v>
      </c>
      <c r="C7" s="43">
        <v>0.63</v>
      </c>
      <c r="D7" s="44">
        <v>85</v>
      </c>
      <c r="E7" s="7"/>
      <c r="F7" s="7"/>
      <c r="G7" s="7"/>
      <c r="H7" s="7"/>
      <c r="I7" s="7"/>
      <c r="J7" s="7"/>
      <c r="K7" s="7"/>
      <c r="L7" s="7"/>
      <c r="M7" s="7"/>
      <c r="N7" s="7"/>
    </row>
    <row r="8" spans="1:14" ht="18" customHeight="1" x14ac:dyDescent="0.3">
      <c r="A8" s="45" t="s">
        <v>300</v>
      </c>
      <c r="B8" s="46">
        <v>0.33600000000000002</v>
      </c>
      <c r="C8" s="46">
        <v>0.66400000000000003</v>
      </c>
      <c r="D8" s="47">
        <v>77</v>
      </c>
      <c r="E8" s="7"/>
      <c r="F8" s="7"/>
      <c r="G8" s="7"/>
      <c r="H8" s="7"/>
      <c r="I8" s="7"/>
      <c r="J8" s="7"/>
      <c r="K8" s="7"/>
      <c r="L8" s="7"/>
      <c r="M8" s="7"/>
      <c r="N8" s="7"/>
    </row>
    <row r="9" spans="1:14" ht="18" customHeight="1" x14ac:dyDescent="0.3">
      <c r="A9" s="48">
        <v>2025</v>
      </c>
      <c r="B9" s="49">
        <v>0.38260869565217398</v>
      </c>
      <c r="C9" s="49">
        <v>0.61739130434782596</v>
      </c>
      <c r="D9" s="50">
        <v>88</v>
      </c>
      <c r="E9" s="7"/>
      <c r="F9" s="7"/>
      <c r="G9" s="7"/>
      <c r="H9" s="7"/>
      <c r="I9" s="7"/>
      <c r="J9" s="7"/>
      <c r="K9" s="7"/>
      <c r="L9" s="7"/>
      <c r="M9" s="7"/>
      <c r="N9" s="7"/>
    </row>
    <row r="10" spans="1:14" ht="24" customHeight="1" x14ac:dyDescent="0.3">
      <c r="A10" s="63" t="s">
        <v>308</v>
      </c>
      <c r="B10" s="63"/>
      <c r="C10" s="63"/>
      <c r="D10" s="63"/>
      <c r="E10" s="7"/>
      <c r="F10" s="7"/>
      <c r="G10" s="7"/>
      <c r="H10" s="7"/>
      <c r="I10" s="7"/>
      <c r="J10" s="7"/>
      <c r="K10" s="7"/>
      <c r="L10" s="7"/>
      <c r="M10" s="7"/>
      <c r="N10" s="7"/>
    </row>
    <row r="11" spans="1:14" ht="21.75" customHeight="1" x14ac:dyDescent="0.3">
      <c r="A11" s="64" t="s">
        <v>301</v>
      </c>
      <c r="B11" s="64"/>
      <c r="C11" s="64"/>
      <c r="D11" s="64"/>
      <c r="E11" s="7"/>
      <c r="F11" s="7"/>
      <c r="G11" s="7"/>
      <c r="H11" s="7"/>
      <c r="I11" s="7"/>
      <c r="J11" s="7"/>
      <c r="K11" s="7"/>
      <c r="L11" s="7"/>
      <c r="M11" s="7"/>
      <c r="N11" s="7"/>
    </row>
    <row r="12" spans="1:14" ht="37.5" customHeight="1" x14ac:dyDescent="0.3">
      <c r="A12" s="56" t="s">
        <v>309</v>
      </c>
      <c r="B12" s="56"/>
      <c r="C12" s="56"/>
      <c r="D12" s="56"/>
      <c r="E12" s="7"/>
      <c r="F12" s="7"/>
      <c r="G12" s="7"/>
      <c r="H12" s="7"/>
      <c r="I12" s="7"/>
      <c r="J12" s="7"/>
      <c r="K12" s="7"/>
      <c r="L12" s="7"/>
      <c r="M12" s="7"/>
      <c r="N12" s="7"/>
    </row>
    <row r="13" spans="1:14" ht="37.5" customHeight="1" x14ac:dyDescent="0.3">
      <c r="A13" s="57" t="s">
        <v>302</v>
      </c>
      <c r="B13" s="57"/>
      <c r="C13" s="57"/>
      <c r="D13" s="57"/>
      <c r="E13" s="7"/>
      <c r="F13" s="7"/>
      <c r="G13" s="7"/>
      <c r="H13" s="7"/>
      <c r="I13" s="7"/>
      <c r="J13" s="7"/>
      <c r="K13" s="7"/>
      <c r="L13" s="7"/>
      <c r="M13" s="7"/>
      <c r="N13" s="7"/>
    </row>
    <row r="14" spans="1:14" ht="37.5" customHeight="1" x14ac:dyDescent="0.3">
      <c r="A14" s="58" t="s">
        <v>303</v>
      </c>
      <c r="B14" s="58"/>
      <c r="C14" s="58"/>
      <c r="D14" s="58"/>
      <c r="E14" s="7"/>
      <c r="F14" s="7"/>
      <c r="G14" s="7"/>
      <c r="H14" s="7"/>
      <c r="I14" s="7"/>
      <c r="J14" s="7"/>
      <c r="K14" s="7"/>
      <c r="L14" s="7"/>
      <c r="M14" s="7"/>
      <c r="N14" s="7"/>
    </row>
    <row r="15" spans="1:14" ht="37.5" customHeight="1" x14ac:dyDescent="0.3">
      <c r="A15" s="58" t="s">
        <v>304</v>
      </c>
      <c r="B15" s="58"/>
      <c r="C15" s="58"/>
      <c r="D15" s="58"/>
      <c r="E15" s="7"/>
      <c r="F15" s="7"/>
      <c r="G15" s="7"/>
      <c r="H15" s="7"/>
      <c r="I15" s="7"/>
      <c r="J15" s="7"/>
      <c r="K15" s="7"/>
      <c r="L15" s="7"/>
      <c r="M15" s="7"/>
      <c r="N15" s="7"/>
    </row>
    <row r="16" spans="1:14" ht="37.5" customHeight="1" x14ac:dyDescent="0.3">
      <c r="A16" s="59" t="s">
        <v>305</v>
      </c>
      <c r="B16" s="59"/>
      <c r="C16" s="59"/>
      <c r="D16" s="59"/>
      <c r="E16" s="7"/>
      <c r="F16" s="7"/>
      <c r="G16" s="7"/>
      <c r="H16" s="7"/>
      <c r="I16" s="7"/>
      <c r="J16" s="7"/>
      <c r="K16" s="7"/>
      <c r="L16" s="7"/>
      <c r="M16" s="7"/>
      <c r="N16" s="7"/>
    </row>
    <row r="17" spans="1:14" x14ac:dyDescent="0.3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</row>
    <row r="18" spans="1:14" x14ac:dyDescent="0.3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</row>
    <row r="19" spans="1:14" x14ac:dyDescent="0.3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</row>
    <row r="20" spans="1:14" x14ac:dyDescent="0.3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</row>
    <row r="21" spans="1:14" x14ac:dyDescent="0.3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</row>
    <row r="22" spans="1:14" x14ac:dyDescent="0.3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</row>
    <row r="23" spans="1:14" x14ac:dyDescent="0.3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</row>
    <row r="24" spans="1:14" x14ac:dyDescent="0.3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</row>
    <row r="25" spans="1:14" x14ac:dyDescent="0.3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</row>
    <row r="26" spans="1:14" x14ac:dyDescent="0.3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</row>
    <row r="27" spans="1:14" x14ac:dyDescent="0.3">
      <c r="A27" s="7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</row>
    <row r="28" spans="1:14" x14ac:dyDescent="0.3">
      <c r="A28" s="7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</row>
    <row r="29" spans="1:14" x14ac:dyDescent="0.3">
      <c r="A29" s="7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</row>
    <row r="30" spans="1:14" x14ac:dyDescent="0.3">
      <c r="A30" s="7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</row>
    <row r="31" spans="1:14" x14ac:dyDescent="0.3">
      <c r="A31" s="7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</row>
    <row r="32" spans="1:14" x14ac:dyDescent="0.3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</row>
    <row r="33" spans="1:14" x14ac:dyDescent="0.3">
      <c r="A33" s="7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</row>
    <row r="34" spans="1:14" x14ac:dyDescent="0.3">
      <c r="A34" s="7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</row>
    <row r="35" spans="1:14" x14ac:dyDescent="0.3">
      <c r="A35" s="7"/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</row>
    <row r="36" spans="1:14" x14ac:dyDescent="0.3">
      <c r="A36" s="7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</row>
    <row r="37" spans="1:14" x14ac:dyDescent="0.3">
      <c r="A37" s="7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</row>
  </sheetData>
  <mergeCells count="10">
    <mergeCell ref="A1:N1"/>
    <mergeCell ref="A2:N2"/>
    <mergeCell ref="A3:D3"/>
    <mergeCell ref="A10:D10"/>
    <mergeCell ref="A11:D11"/>
    <mergeCell ref="A12:D12"/>
    <mergeCell ref="A13:D13"/>
    <mergeCell ref="A14:D14"/>
    <mergeCell ref="A15:D15"/>
    <mergeCell ref="A16:D16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4</vt:i4>
      </vt:variant>
    </vt:vector>
  </HeadingPairs>
  <TitlesOfParts>
    <vt:vector size="4" baseType="lpstr">
      <vt:lpstr>1. Lista de Deputados</vt:lpstr>
      <vt:lpstr>2. Partidos e Proporção</vt:lpstr>
      <vt:lpstr>3. Deputados por Género</vt:lpstr>
      <vt:lpstr>4. Evolução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Anisha Taju</dc:creator>
  <dc:description/>
  <cp:lastModifiedBy>Anisha Taju</cp:lastModifiedBy>
  <cp:revision>1</cp:revision>
  <dcterms:created xsi:type="dcterms:W3CDTF">2026-04-21T20:53:51Z</dcterms:created>
  <dcterms:modified xsi:type="dcterms:W3CDTF">2026-09-16T05:08:33Z</dcterms:modified>
  <dc:language>en-US</dc:language>
</cp:coreProperties>
</file>